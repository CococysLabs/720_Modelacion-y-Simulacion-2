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hidden"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<sst xmlns="http://schemas.openxmlformats.org/spreadsheetml/2006/main" count="1284" uniqueCount="404">
  <si>
    <t>Diseño de Contenido Curricular</t>
  </si>
  <si>
    <t>Competencias que se formaran en el Segundo Semestre 2026</t>
  </si>
  <si>
    <t xml:space="preserve">Resumen de Ponderacion y Horas </t>
  </si>
  <si>
    <t>Curso</t>
  </si>
  <si>
    <t>720 - Modelación y Simulación 2</t>
  </si>
  <si>
    <t>Semestre que aplica</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</si>
  <si>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</si>
  <si>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</si>
  <si>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</si>
  <si>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</si>
  <si>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</si>
  <si>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No.</t>
  </si>
  <si>
    <t>Tipo de Actividad</t>
  </si>
  <si>
    <t>Competencias relacionadas al perfil del egresado (Especifica)</t>
  </si>
  <si>
    <t>Competencia</t>
  </si>
  <si>
    <t>Ponderacion</t>
  </si>
  <si>
    <t>Horas utilizadas</t>
  </si>
  <si>
    <t>Aspectos clave que debe abordar</t>
  </si>
  <si>
    <t>Semana</t>
  </si>
  <si>
    <t>Competencias relacionadas al perfil del egresado (General)</t>
  </si>
  <si>
    <t>Nombre de la Unidad</t>
  </si>
  <si>
    <t>Tema</t>
  </si>
  <si>
    <t>Subtema</t>
  </si>
  <si>
    <t>Mes</t>
  </si>
  <si>
    <t>Valor Maximo Recomendado</t>
  </si>
  <si>
    <t>Actividades durante el peridodo de laboratorio</t>
  </si>
  <si>
    <t>Tiempo</t>
  </si>
  <si>
    <t xml:space="preserve">Aplica y hace uso de todos los objetos que  SIMIO brinda en sus librerias empleando los conocimientos adquiridos en el laboratori para poder realizar los modelos basados en la vida real según sean necesarios. </t>
  </si>
  <si>
    <t>Modelado</t>
  </si>
  <si>
    <t>Introduccion a la Modelación y Simulación</t>
  </si>
  <si>
    <t>¿Qué es la modelación y simulación?</t>
  </si>
  <si>
    <t xml:space="preserve">Recuerda los conocimientos y las herramientas que fueron empleadas en SIMIO realizando ejercicios para recuperar sus habilidades para ponerlos en practica en el curso de modelación y simulación 2. </t>
  </si>
  <si>
    <t>Visuales en simio</t>
  </si>
  <si>
    <t>Uso de graficas, listas y colas</t>
  </si>
  <si>
    <t>Graficas, teoria de colas</t>
  </si>
  <si>
    <t>Procesos</t>
  </si>
  <si>
    <t>Modelando procesos</t>
  </si>
  <si>
    <t>Uso de procesos y tipos</t>
  </si>
  <si>
    <t xml:space="preserve">Aplica y hace uso de todos los objetos que SIMIO brinda en sus librerias empleando los conocimientos adquiridos en el laboratorio para poder realizar los modelos basados en la vida real según sean necesarios. </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</si>
  <si>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</si>
  <si>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</si>
  <si>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Resultados</t>
  </si>
  <si>
    <t>Analisis de resultados</t>
  </si>
  <si>
    <t>Tiempo Aproximado</t>
  </si>
  <si>
    <t>Visualización y generazión de resultados</t>
  </si>
  <si>
    <t>Visuales 3D</t>
  </si>
  <si>
    <t>Modelado 3D</t>
  </si>
  <si>
    <t>Libreria extra, vistsa y ambientes 3D</t>
  </si>
  <si>
    <t>Librería Estándar</t>
  </si>
  <si>
    <t>Distribuciones de probabilidad</t>
  </si>
  <si>
    <t>No puedes excederte mas de 15 minutos</t>
  </si>
  <si>
    <t>¿Qué son las distribuciones de probabilidad?</t>
  </si>
  <si>
    <t>Proyectos</t>
  </si>
  <si>
    <t xml:space="preserve">Nombre y Formacion Academica </t>
  </si>
  <si>
    <t>Para qué nos sirven</t>
  </si>
  <si>
    <t>Estudiante de Ingeniería en Ciencias y Sistemas</t>
  </si>
  <si>
    <t>Aplicaciones de la distribuciones</t>
  </si>
  <si>
    <t>Relación de las distribuciones con Simio</t>
  </si>
  <si>
    <t xml:space="preserve">Experiencia docente y profecional </t>
  </si>
  <si>
    <t>Desarrolladora Backend</t>
  </si>
  <si>
    <t>Análisis de datos</t>
  </si>
  <si>
    <t>Como ajustar una serie de datos a una distribución</t>
  </si>
  <si>
    <t>Rol del auxiliar dentro del curso (funciones, actividades y apoyo a los estudiantes).</t>
  </si>
  <si>
    <t>Apoyo en el laborotario con la explicación del contenido, resolución de dudas. Brindaré los contenidos puntuables y la calificacón de los mismos</t>
  </si>
  <si>
    <t>Ejemplo de ajustar una serie de datos a una distribución</t>
  </si>
  <si>
    <t>Prácticas</t>
  </si>
  <si>
    <t xml:space="preserve">Analiza con lógica y conocimiento de simulación empleado herramientas de simulación con SIMIO enfocado a presentar soluciones profesionales </t>
  </si>
  <si>
    <t>Combiners, separadors, inventarios</t>
  </si>
  <si>
    <t>Explicación y uso de Combiner</t>
  </si>
  <si>
    <t>Expectativas sobre la dinámica del curso</t>
  </si>
  <si>
    <t>Explicación y uso Separator</t>
  </si>
  <si>
    <t>Participación de los compañeros, resolución de dudas por medios oficiales, seguimiento de instrucciones</t>
  </si>
  <si>
    <t>Como manipular Inventarios en Simio</t>
  </si>
  <si>
    <t>Como aplicar un Timer en Simio</t>
  </si>
  <si>
    <t>Tareas</t>
  </si>
  <si>
    <t xml:space="preserve">Tiempo que emplearas </t>
  </si>
  <si>
    <t>Política mínimo y máximo</t>
  </si>
  <si>
    <t>No</t>
  </si>
  <si>
    <t>Tipo</t>
  </si>
  <si>
    <t>Verbo en Presente</t>
  </si>
  <si>
    <t>Objeto de la acción</t>
  </si>
  <si>
    <t>Política de punto de reorden</t>
  </si>
  <si>
    <t>Interpretación de resultados</t>
  </si>
  <si>
    <t>Como realizar finanzas en Simio</t>
  </si>
  <si>
    <t>Introduccion a finanzas</t>
  </si>
  <si>
    <t>[Palabras conectoreas] Herramientas o metodología</t>
  </si>
  <si>
    <t xml:space="preserve">2. Evaluación de Conocimientos Previos                             </t>
  </si>
  <si>
    <t>[Palabras conectoreas] Condiciones específicas</t>
  </si>
  <si>
    <t>Como realizar el cambio de divisas</t>
  </si>
  <si>
    <t>Nivel</t>
  </si>
  <si>
    <t>Como aplicar gastos por uso de un servidor</t>
  </si>
  <si>
    <t>Total</t>
  </si>
  <si>
    <t>Creacion de variables de centro de costos</t>
  </si>
  <si>
    <t>No puedes excederte mas de 45 minutos</t>
  </si>
  <si>
    <t>Librería de Flujo</t>
  </si>
  <si>
    <t>Especifica</t>
  </si>
  <si>
    <t>Aplicacion de fluidos usando Simio</t>
  </si>
  <si>
    <t>En los recuadors de la derecha deberas colocar las preguntas que planeas realizar con sus respectivas respuestas.  En el segundo recuadro deberas colocar un breve resumne de lo que tines planificado para la parte practica del curso previo al que estas impartiendo.</t>
  </si>
  <si>
    <t>Aplica</t>
  </si>
  <si>
    <t>Introduccion a la libreria de flujos</t>
  </si>
  <si>
    <t>Redactaras de 15 a 20 preguntas con sus respectivas respuestas , por lo que debes escoge los temas que evaluaras</t>
  </si>
  <si>
    <t>Concepto de Simulación, Conocimiento sobre SIMIO y la librería estándar</t>
  </si>
  <si>
    <t>y hace uso de todos los objetos que  SIMIO brinda en sus librerias</t>
  </si>
  <si>
    <t>Explicacion de como podemos aplicarla en nuestros modelos</t>
  </si>
  <si>
    <t>Validacion</t>
  </si>
  <si>
    <t>Componentes principales de la libreria de flujos</t>
  </si>
  <si>
    <t>empleando los conocimientos adquiridos en el laboratori</t>
  </si>
  <si>
    <t>Redactaras una parte practica para realizar la evaluacion de conocimientos previos</t>
  </si>
  <si>
    <t xml:space="preserve">Crea modelos a la medida por medio del software SIMIO  para resolución y optimiización de procesos empresariales </t>
  </si>
  <si>
    <t>Libreria Extras</t>
  </si>
  <si>
    <t>Libreria extra de Simio</t>
  </si>
  <si>
    <t>Introduccion a libreria extra de Simio</t>
  </si>
  <si>
    <t>para poder realizar los modelos basados en la vida real según sean necesarios.</t>
  </si>
  <si>
    <t>Explicacion de los componentes de la libreria extra</t>
  </si>
  <si>
    <t>Aplicar</t>
  </si>
  <si>
    <t>Como aplicar los componentes de la libreria extra</t>
  </si>
  <si>
    <t xml:space="preserve">3. Presentación de los Estudiantes                                </t>
  </si>
  <si>
    <t xml:space="preserve">No puedes excederte mas de 30 minutos </t>
  </si>
  <si>
    <t>Seleccion al Azar de 5 Estudiantes</t>
  </si>
  <si>
    <t>Invitar a participar a los estudiantes</t>
  </si>
  <si>
    <t>Evalua</t>
  </si>
  <si>
    <t xml:space="preserve">ganancias, costos y gastos </t>
  </si>
  <si>
    <t>empleando herramientas de simulación con SIMIO</t>
  </si>
  <si>
    <t>con el fin de prevenir perdidas y tener mejor control financiero.</t>
  </si>
  <si>
    <t>Evaluar</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</si>
  <si>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</si>
  <si>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</si>
  <si>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Respondienndo con su nombre, expectativas del curso, dato curioso del alumno e intereses personales</t>
  </si>
  <si>
    <t xml:space="preserve">4.  Senso de Horarios de Calificación                                  </t>
  </si>
  <si>
    <t>Analiza</t>
  </si>
  <si>
    <t>con lógica y conocimiento de simulación</t>
  </si>
  <si>
    <t xml:space="preserve">Deberas estar recordando que deben contestar el formulario asi mismo dejar el link fijado en la llamada </t>
  </si>
  <si>
    <t>empleado herramientas de simulación con SIMIO</t>
  </si>
  <si>
    <t>enfocado a presentar soluciones profesionales</t>
  </si>
  <si>
    <t>Esta actividad quedara abierta hasta el fin de la clase. pero emplearas 5 min especificos para la actividad</t>
  </si>
  <si>
    <t xml:space="preserve">Link de google forms donde este el cuestionario </t>
  </si>
  <si>
    <t>Analizar</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</si>
  <si>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</si>
  <si>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</si>
  <si>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Presentar los dias en donde se puede realizar la calificacion</t>
  </si>
  <si>
    <t xml:space="preserve">5.  Mostrar Programa del Curso                 </t>
  </si>
  <si>
    <t>No puedes excederte mas de 30 minutos</t>
  </si>
  <si>
    <t>y hace uso de todos los objetos que SIMIO brinda en sus librerias</t>
  </si>
  <si>
    <t>empleando los conocimientos adquiridos en el laboratorio</t>
  </si>
  <si>
    <t xml:space="preserve">6. Evaluación de Conocimientos del Curso Actual                                  </t>
  </si>
  <si>
    <t xml:space="preserve">Redactaras 20 preguntas con sus respectivas respuestas </t>
  </si>
  <si>
    <t>Preguntas sobre procesos, inventarios, costos y su aplicación en SIMIO</t>
  </si>
  <si>
    <t>General</t>
  </si>
  <si>
    <t>Crea</t>
  </si>
  <si>
    <t>modelos a la medida</t>
  </si>
  <si>
    <t xml:space="preserve">por medio del software SIMIO </t>
  </si>
  <si>
    <t>para resolución y optimiización de procesos empresariales</t>
  </si>
  <si>
    <t>Crear</t>
  </si>
  <si>
    <t>Recuerda</t>
  </si>
  <si>
    <t>los conocimientos y las herramientas que fueron empleadas en SIMIO</t>
  </si>
  <si>
    <t>realizando ejercicios para recuperar sus habilidades</t>
  </si>
  <si>
    <t>para ponerlos en practica en el curso de modelación y simulación 2.</t>
  </si>
  <si>
    <t>Recordar</t>
  </si>
  <si>
    <t>Comprende</t>
  </si>
  <si>
    <t>el funcionamiento del modelado por medio del análisis de documentación</t>
  </si>
  <si>
    <t>con el fin de ponerlo en práctica en tareas del laboratorio</t>
  </si>
  <si>
    <t>Comprender</t>
  </si>
  <si>
    <r>
      <rPr>
        <rFont val="Arial"/>
        <b/>
        <color theme="1"/>
      </rPr>
      <t>Manual de competencias:</t>
    </r>
    <r>
      <rPr>
        <rFont val="Arial"/>
        <color theme="1"/>
      </rPr>
      <t xml:space="preserve"> </t>
    </r>
    <r>
      <rPr>
        <rFont val="Arial"/>
        <color rgb="FF1155CC"/>
        <u/>
      </rPr>
      <t>https://drive.google.com/file/d/1n5es0M20vXxa7i4eLN7pbgTXc2C1dmCQ/view?usp=sharing</t>
    </r>
  </si>
  <si>
    <r>
      <rPr>
        <rFont val="Arial"/>
        <b/>
        <color theme="1"/>
      </rPr>
      <t>Video de como hacer competencias:</t>
    </r>
    <r>
      <rPr>
        <rFont val="Arial"/>
        <color theme="1"/>
      </rPr>
      <t xml:space="preserve"> </t>
    </r>
    <r>
      <rPr>
        <rFont val="Arial"/>
        <color rgb="FF1155CC"/>
        <u/>
      </rPr>
      <t>https://youtu.be/C8Q9dKo4t-w?si=yErgF_ihe1tsaHM0</t>
    </r>
  </si>
  <si>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</si>
  <si>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</si>
  <si>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</si>
  <si>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</si>
  <si>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</si>
  <si>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</si>
  <si>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</si>
  <si>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Tolerancia</t>
  </si>
  <si>
    <t>Etica</t>
  </si>
  <si>
    <t>Compromiso</t>
  </si>
  <si>
    <t>Descripcion</t>
  </si>
  <si>
    <t>El estudiante comprende los requerimientos y cambios que los clientes solicitan y los aplica correctamente</t>
  </si>
  <si>
    <t>El estudiante se compromete a realizar y entregar las actividades establecidas en el laboratorio durante el semestre</t>
  </si>
  <si>
    <t>Etica, al momento de realizar simulaciones no realizar procesos ocultos para poder ejecutar las tareas.</t>
  </si>
  <si>
    <t>Como se relaciona con los conocimientos de la sesion y se aplicaria</t>
  </si>
  <si>
    <t>Se comprende las necesidades del sistema y se permite ser flexible con ellos</t>
  </si>
  <si>
    <t>2. Área Conocimiento (Saber)</t>
  </si>
  <si>
    <t>La realización de las actividades establecidas en el laboratorio durante el semestre</t>
  </si>
  <si>
    <t>No puede exceder los 60 minutos</t>
  </si>
  <si>
    <t>Competencia a desarrollar</t>
  </si>
  <si>
    <t xml:space="preserve">Comprende el funcionamiento del modelado por medio del análisis de documentación empleando herramientas de simulación con SIMIO con el fin de ponerlo en práctica en tareas del laboratorio </t>
  </si>
  <si>
    <t>2.1 Contenido</t>
  </si>
  <si>
    <t>Unidad</t>
  </si>
  <si>
    <t xml:space="preserve">Tema </t>
  </si>
  <si>
    <t>Sub Tema</t>
  </si>
  <si>
    <t>Gráficas</t>
  </si>
  <si>
    <t>Tipos de Listas</t>
  </si>
  <si>
    <t>Tipos de Colas</t>
  </si>
  <si>
    <t>Teoría de Colas</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</si>
  <si>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</si>
  <si>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</si>
  <si>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</si>
  <si>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</si>
  <si>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</si>
  <si>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</si>
  <si>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</si>
  <si>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</si>
  <si>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</si>
  <si>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</si>
  <si>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</si>
  <si>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</si>
  <si>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</si>
  <si>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</si>
  <si>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</si>
  <si>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</si>
  <si>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</si>
  <si>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 xml:space="preserve">Ejercicio práctico para reforzar conocimientos adquiridos realizado en clase </t>
  </si>
  <si>
    <t>actividades</t>
  </si>
  <si>
    <t>Actividad 2 (Optativa puedes hacerla si lo consideras apropiado)</t>
  </si>
  <si>
    <t>Ejemplo práctico en SIMIO dónde se aplica los diferentes tipos de probabilidad y sus distribuciones</t>
  </si>
  <si>
    <t>Coloca el tiempo que usar en la actividad, un tiempo sugerido 20 minutos</t>
  </si>
  <si>
    <t>3. Cierre</t>
  </si>
  <si>
    <t>Tiene que estar en un rango de 10 a 15 minutos</t>
  </si>
  <si>
    <t>N/A</t>
  </si>
  <si>
    <t>Asignacion de Actividades</t>
  </si>
  <si>
    <t>Tareas, cortos o dudas</t>
  </si>
  <si>
    <t>Resuelve alguna duda, asigna las actividades que deben realizar, dudas de proyectos, etc</t>
  </si>
  <si>
    <t>Tareas, Cortos o dudas</t>
  </si>
  <si>
    <t>Asignación de Tareas, Cortos o espacio para dudas</t>
  </si>
  <si>
    <t>Confiabilidad</t>
  </si>
  <si>
    <t>Confiabilidad, realizar los cortos y evaluaciones a conciencia sin uso de herramientas externas.</t>
  </si>
  <si>
    <t>Valor</t>
  </si>
  <si>
    <t>El estudiante muestra valor para realizar consultas, dudas y comentarios en clase</t>
  </si>
  <si>
    <t>Se busca participación activa durante las sesiones</t>
  </si>
  <si>
    <t>Puntualidad</t>
  </si>
  <si>
    <t>Puntualidad, realizar examen corto en el tiempo correspondiente</t>
  </si>
  <si>
    <t>Tipos de Procesos</t>
  </si>
  <si>
    <t>Uso de IS</t>
  </si>
  <si>
    <t xml:space="preserve">Evalua ganancias, costos y gastos  empleando herramientas de simulación con SIMIO con el fin de prevenir perdidas y tener mejor control financiero. </t>
  </si>
  <si>
    <t>Aplicación y uso de procesos</t>
  </si>
  <si>
    <t>Ejemplo práctico en SIMIO dónde se aplica el uso de Combiner y Separator</t>
  </si>
  <si>
    <t>Ejercicio practico realizado en clase para aplicar conocimientos adquiridos.</t>
  </si>
  <si>
    <t>Ejemplo práctico en SIMIO dónde se aplica la utilización de finanzas en SIMIO</t>
  </si>
  <si>
    <t>Perseverancia</t>
  </si>
  <si>
    <t>El alumno finaliza sus proyectos con actitud persevrante</t>
  </si>
  <si>
    <t>Se busca que sea un porcentaje alto de alumnos que prosigan con el curso</t>
  </si>
  <si>
    <t>Honestidad</t>
  </si>
  <si>
    <t>Uso de tabla pivote de resultados</t>
  </si>
  <si>
    <t>Honestidad, para realizar el examen corto lo mas transparente posible</t>
  </si>
  <si>
    <t>Visualizacion y generacion de reportes</t>
  </si>
  <si>
    <t>Generacion y visualizacion de graficas</t>
  </si>
  <si>
    <t>Honor</t>
  </si>
  <si>
    <t>El estudiante demuestra con honor el aprendizaje obtenido durante el curso</t>
  </si>
  <si>
    <t>El estudiante obtiene su punteo con honor</t>
  </si>
  <si>
    <t>Resolución de dudas</t>
  </si>
  <si>
    <t>Librería Extra</t>
  </si>
  <si>
    <t>Vistas</t>
  </si>
  <si>
    <t>Ejemplo práctico en SIMIO dónde se aplica la librería de flujos y su uso</t>
  </si>
  <si>
    <t>Ambientes 3D</t>
  </si>
  <si>
    <t>Uso de Modelos 3D</t>
  </si>
  <si>
    <t>Excelencia</t>
  </si>
  <si>
    <t>Excelencia, para culminar el curso y aplicar los conocimientos obtenidos a futuro</t>
  </si>
  <si>
    <t>La sumatoria de los puntos de los proyectos debe superar el  60% del total de la nota, no puede ser un 100%</t>
  </si>
  <si>
    <t>1. Primer Proyecto</t>
  </si>
  <si>
    <t>Horas para realizarlo</t>
  </si>
  <si>
    <t>Titulo</t>
  </si>
  <si>
    <t>Proyecto Fase 1</t>
  </si>
  <si>
    <t>Qué tecnologías, lenguajes de programación, plataformas, hardware o software se utilizaran</t>
  </si>
  <si>
    <t>Software SIMIO</t>
  </si>
  <si>
    <t>Descripción de lo que se realizara</t>
  </si>
  <si>
    <t>La Fase 1 consiste en analizar y comprender el sistema real a partir de los datos recopilados.En esta etapa se identifican las distribuciones de tiempos, tasas de llegada, probabilidades y recursos involucrados, además de definir el flujo de las entidades y los supuestos del modelo. Su objetivo principal es establecer una base sólida y bien fundamentada para que la simulación en fases posteriores sea coherente y representativa de la realidad.</t>
  </si>
  <si>
    <t>2. Segundo Proyecto</t>
  </si>
  <si>
    <t>La Fase 2 consiste en construir el modelo de simulación a partir de la información analizada en la Fase 1. En esta etapa se integran las distribuciones de tiempo, tasas de llegada, recursos y reglas del sistema dentro de una herramienta de simulación, definiendo procesos, estados y lógica de operación que representen el comportamiento real del sistema . Su objetivo principal es desarrollar una base funcional del modelo, capaz de ejecutar simulaciones iniciales que permitan validar su coherencia, identificar posibles ajustes y asegurar que la representación del sistema sea adecuada para análisis posteriores.</t>
  </si>
  <si>
    <t>Ejemplo práctico en SIMIO dónde se aplica la librería extras</t>
  </si>
  <si>
    <t>3. Tercer Proyecto</t>
  </si>
  <si>
    <t>Optativa</t>
  </si>
  <si>
    <t>Proyecto Fase 3</t>
  </si>
  <si>
    <t>La Fase 3 se enfoca en la optimización y mejora del sistema modelado, utilizando la simulación para evaluar diferentes escenarios y configuraciones. En esta etapa se realizan experimentos (por ejemplo, variando recursos, capacidades o políticas de atención), se analizan indicadores de desempeño como tiempos de espera, utilización y throughput, y se proponen soluciones para mejorar la eficiencia del sistema. Además, puede incluir visualización en 3D y la presentación de resultados comparativos que respalden la mejor alternativa.</t>
  </si>
  <si>
    <t>Practicas</t>
  </si>
  <si>
    <t>La sumatoria de los puntos de los practicas debe no debe super el  20%</t>
  </si>
  <si>
    <t>1. Primera Practica</t>
  </si>
  <si>
    <t>Obligatoria</t>
  </si>
  <si>
    <t>2. Segunda Practica</t>
  </si>
  <si>
    <t>3. Tercera Practica</t>
  </si>
  <si>
    <t>4. Cuarta Practica</t>
  </si>
  <si>
    <t>5. Quinta Practica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</si>
  <si>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</si>
  <si>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</si>
  <si>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</si>
  <si>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</si>
  <si>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</si>
  <si>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101 - Área Matemática Básica 1</t>
  </si>
  <si>
    <t>La sumatoria de los puntos de los practicas debe no debe super el  10% de la nota</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</si>
  <si>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</si>
  <si>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</si>
  <si>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5 - Técnicas de Estudio e Investigación</t>
  </si>
  <si>
    <t>Tarea de fortalecimiento académico</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</si>
  <si>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</si>
  <si>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</si>
  <si>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39 - Deportes 1</t>
  </si>
  <si>
    <t>Obligatoria se debe dejar en la sesion de diagnistico</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</si>
  <si>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</si>
  <si>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</si>
  <si>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</si>
  <si>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6. Sexta Practica</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</si>
  <si>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</si>
  <si>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</si>
  <si>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</si>
  <si>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</si>
  <si>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</si>
  <si>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</si>
  <si>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</si>
  <si>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</si>
  <si>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</si>
  <si>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</si>
  <si>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</si>
  <si>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</si>
  <si>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</si>
  <si>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</si>
  <si>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</si>
  <si>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</si>
  <si>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</si>
  <si>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Diagnostico</t>
  </si>
  <si>
    <t>107 - Área Matemática Intermedia 1</t>
  </si>
  <si>
    <t>150 - Fisica 1</t>
  </si>
  <si>
    <t>Plataformas Kahoot</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</si>
  <si>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</si>
  <si>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</si>
  <si>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</si>
  <si>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</si>
  <si>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</si>
  <si>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</si>
  <si>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</si>
  <si>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</si>
  <si>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</si>
  <si>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Que conocimientos base y competencias esenciales se deben reforzar que permitan al estudiante afrontar con mayor solidez los contenidos del curso</t>
  </si>
  <si>
    <t>2025 - Prácticas Iniciales</t>
  </si>
  <si>
    <t>732 - Estadística 1</t>
  </si>
  <si>
    <t>777 - Organización de Lenguajes y Compiladores 1</t>
  </si>
  <si>
    <t>964 - Organización Computacional</t>
  </si>
  <si>
    <t>772 - Estructuras de Datos</t>
  </si>
  <si>
    <t>Se realiza un actividad tipo cuestionario para realizar un análisis de los conocimientos de los estudiantes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</si>
  <si>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</si>
  <si>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</si>
  <si>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</si>
  <si>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</si>
  <si>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</si>
  <si>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</si>
  <si>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</si>
  <si>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</si>
  <si>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</si>
  <si>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</si>
  <si>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</si>
  <si>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</si>
  <si>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</si>
  <si>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</si>
  <si>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 Septima Practica</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</si>
  <si>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</si>
  <si>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</si>
  <si>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</si>
  <si>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</si>
  <si>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</si>
  <si>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</si>
  <si>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</si>
  <si>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</si>
  <si>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</si>
  <si>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1. Primera Tarea</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</si>
  <si>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</si>
  <si>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</si>
  <si>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</si>
  <si>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</si>
  <si>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</si>
  <si>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</si>
  <si>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</si>
  <si>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</si>
  <si>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</si>
  <si>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</si>
  <si>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</si>
  <si>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</si>
  <si>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</si>
  <si>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</si>
  <si>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</si>
  <si>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</si>
  <si>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</si>
  <si>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</si>
  <si>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</si>
  <si>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</si>
  <si>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</si>
  <si>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</si>
  <si>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Tarea 1</t>
  </si>
  <si>
    <t>92 - Programacion de Computadoras 2</t>
  </si>
  <si>
    <t>667 - Programacion Comercial 1</t>
  </si>
  <si>
    <t>768 - Algoritmos</t>
  </si>
  <si>
    <t>0089 - Comunicación Asertiva</t>
  </si>
  <si>
    <t>La tarea consiste en crear una simulación en Simio del flujo de personas en el aeropuerto “Aurora” durante 24 horas, considerando una llegada exponencial de 850 personas por hora y una distribución específica hacia distintos destinos nacionales. Se deben modelar los tiempos de atención con una distribución triangular y analizar cuántas personas viajan a cada destino o solo acompañan. Además, se debe grabar un video (máx. 5 minutos) explicando el modelo y los resultados, subirlo a YouTube o Drive con acceso libre, y entregar el archivo de Simio junto con los nombres y carnets del grupo</t>
  </si>
  <si>
    <t>2. Segunda Tarea</t>
  </si>
  <si>
    <t>Tarea 2</t>
  </si>
  <si>
    <t>SIMIO</t>
  </si>
  <si>
    <t>La tarea consiste en simular 3 empresas de gaseosas que empacan cajas de 50 botellas, donde cada caja solo puede contener un tipo de bebida entre 5 disponibles. Se debe usar Combiner para empacar y Separator para separar las cajas en 3 tiendas, simulando de 8:00 a.m. a 5:00 p.m. Además, el modelo debe ser ordenado, puede incluir 3D, mostrar gráficas de barras y pie sobre la producción de cada empresa, y analizar posibles mejoras en el proceso.</t>
  </si>
  <si>
    <t>3. Tercera Tarea</t>
  </si>
  <si>
    <t>Hoja de trabajo 1</t>
  </si>
  <si>
    <t>Se debe simular una jornada laboral en la tienda “Tanooky” de 8:00 a.m. a 5:00 p.m., con una llegada exponencial de clientes cada 0.66 minutos. La tienda cuenta con 5 cajeros, 4 estaciones de servicio al cliente y 2 de comida rápida, con tiempos de atención definidos por distribuciones. El 70% de los clientes va a los cajeros, el 20% luego a servicio al cliente, y el resto a comida rápida, usando colas FIFO. Se deben generar gráficas de barras, pie y gauge, calcular ingresos por cajero y analizar si es necesario añadir más servidores en cada área.</t>
  </si>
  <si>
    <t>4. Cuarta Tarea</t>
  </si>
  <si>
    <t>Hoja de Trabajo 2</t>
  </si>
  <si>
    <t>La tarea consiste en simular en Simio el proceso de cambio de divisas en “KamekStore” durante Black Friday para la compra de consolas PlayStation 6. Los pedidos llegan cada 6 minutos en promedio, el precio de la consola es de $499.99 y el tiempo de cambio y confirmación del pago sigue una distribución uniforme entre 5 y 15 minutos. Se deben manejar cuatro monedas, crear colas por servidor, usar CostCenter para controlar ingresos y mostrar gráficas de pedidos atendidos, dinero recibido y utilización de servidores. Como entrega, se pide el archivo .spfx, un video explicando el modelo y colocar en UEDI el enlace del video</t>
  </si>
  <si>
    <t>5. Quinta Tarea</t>
  </si>
  <si>
    <t>Hoja de trabajo 3</t>
  </si>
  <si>
    <t>En la embotelladora “DrinkWater” se simulará la producción de botellas de 355ml, 500ml, 1L y 2.5L, con tiempos de fabricación exponenciales de 0.25 a 1 minuto. Se cuenta con dos tanques (2000L y 4000L) con flujo de 5L/s, y se debe calcular cuántos litros se deben producir en 24 horas. Se deben mostrar los litros almacenados y la cantidad de botellas fabricadas y despachadas con status labels. También se deben abrir válvulas al alcanzar cierta capacidad y presentar gráficas. El modelo debe estar ordenado en 2D y entregarse con video explicativo (máx. 5 min), archivo nombrado correctamente y datos del grupo.</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</si>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</sst>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color rgb="FFFFFFFF"/>
      <name val="Arial"/>
    </font>
    <font>
      <b/>
      <sz val="12.0"/>
      <color theme="8"/>
      <name val="Arial"/>
    </font>
    <font>
      <b/>
      <sz val="12.0"/>
      <color rgb="FFFBBC04"/>
      <name val="Arial"/>
    </font>
    <font>
      <b/>
      <sz val="12.0"/>
      <color rgb="FFFF6D01"/>
      <name val="Arial"/>
    </font>
    <font>
      <b/>
      <color theme="1"/>
      <name val="Arial"/>
    </font>
    <font>
      <color rgb="FFB7B7B7"/>
      <name val="Arial"/>
    </font>
    <font>
      <sz val="12.0"/>
      <color rgb="FFB7B7B7"/>
      <name val="Arial"/>
    </font>
    <font>
      <b/>
      <sz val="11.0"/>
      <color theme="1"/>
      <name val="Arial"/>
    </font>
    <font>
      <b/>
      <sz val="12.0"/>
      <color theme="1"/>
      <name val="Arial"/>
    </font>
    <font/>
    <font>
      <sz val="12.0"/>
      <color rgb="FF404040"/>
      <name val="Inter"/>
    </font>
    <font>
      <sz val="12.0"/>
      <color theme="1"/>
      <name val="Arial"/>
    </font>
    <font>
      <color rgb="FF000000"/>
      <name val="Arial"/>
    </font>
    <font>
      <b/>
      <sz val="13.0"/>
      <color theme="4"/>
      <name val="Arial"/>
    </font>
    <font>
      <b/>
      <sz val="12.0"/>
      <color theme="4"/>
      <name val="Arial"/>
    </font>
    <font>
      <color rgb="FF999999"/>
      <name val="Arial"/>
    </font>
    <font>
      <b/>
      <sz val="13.0"/>
      <color rgb="FF4285F4"/>
      <name val="Arial"/>
    </font>
    <font>
      <b/>
      <sz val="12.0"/>
      <color rgb="FF4285F4"/>
      <name val="Arial"/>
    </font>
    <font>
      <sz val="11.0"/>
      <color theme="1"/>
      <name val="Arial"/>
    </font>
    <font>
      <u/>
      <color theme="1"/>
      <name val="Arial"/>
    </font>
    <font>
      <b/>
      <sz val="12.0"/>
      <color rgb="FFFFFFFF"/>
      <name val="Arial"/>
    </font>
    <font>
      <color rgb="FFCCCCCC"/>
      <name val="Arial"/>
    </font>
    <font>
      <color rgb="FFD9D9D9"/>
      <name val="Arial"/>
    </font>
  </fonts>
  <fills count="1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EAD1DC"/>
        <bgColor rgb="FFEAD1DC"/>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434343"/>
      </left>
      <right style="double">
        <color rgb="FF434343"/>
      </right>
      <top style="double">
        <color rgb="FF434343"/>
      </top>
      <bottom style="double">
        <color rgb="FF434343"/>
      </bottom>
    </border>
    <border>
      <top style="thin">
        <color rgb="FF000000"/>
      </top>
      <bottom style="thin">
        <color rgb="FF000000"/>
      </bottom>
    </border>
    <border>
      <left style="double">
        <color rgb="FF434343"/>
      </left>
      <top style="double">
        <color rgb="FF434343"/>
      </top>
      <bottom style="double">
        <color rgb="FF434343"/>
      </bottom>
    </border>
    <border>
      <right style="thin">
        <color rgb="FF000000"/>
      </right>
      <top style="thin">
        <color rgb="FF000000"/>
      </top>
      <bottom style="thin">
        <color rgb="FF000000"/>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1" numFmtId="0" xfId="0" applyAlignment="1" applyFont="1">
      <alignment vertical="bottom"/>
    </xf>
    <xf borderId="0" fillId="0" fontId="3" numFmtId="0" xfId="0" applyFont="1"/>
    <xf borderId="0" fillId="0" fontId="4" numFmtId="0" xfId="0" applyAlignment="1" applyFont="1">
      <alignment horizontal="center" vertical="bottom"/>
    </xf>
    <xf borderId="0" fillId="0" fontId="5" numFmtId="0" xfId="0" applyFont="1"/>
    <xf borderId="0" fillId="0" fontId="6" numFmtId="0" xfId="0" applyFont="1"/>
    <xf borderId="1" fillId="0" fontId="6" numFmtId="0" xfId="0" applyBorder="1" applyFont="1"/>
    <xf borderId="0" fillId="0" fontId="6" numFmtId="0" xfId="0" applyAlignment="1" applyFont="1">
      <alignment readingOrder="0"/>
    </xf>
    <xf borderId="0" fillId="0" fontId="6" numFmtId="0" xfId="0" applyAlignment="1" applyFont="1">
      <alignment shrinkToFit="0" wrapText="1"/>
    </xf>
    <xf borderId="0" fillId="0" fontId="1" numFmtId="0" xfId="0" applyFont="1"/>
    <xf borderId="0" fillId="0" fontId="7" numFmtId="0" xfId="0" applyFont="1"/>
    <xf borderId="0" fillId="0" fontId="8" numFmtId="0" xfId="0" applyAlignment="1" applyFont="1">
      <alignment shrinkToFit="0" wrapText="1"/>
    </xf>
    <xf borderId="0" fillId="0" fontId="9" numFmtId="0" xfId="0" applyAlignment="1" applyFont="1">
      <alignment vertical="bottom"/>
    </xf>
    <xf borderId="2" fillId="0" fontId="1" numFmtId="0" xfId="0" applyBorder="1" applyFont="1"/>
    <xf borderId="1" fillId="0" fontId="9" numFmtId="0" xfId="0" applyAlignment="1" applyBorder="1" applyFont="1">
      <alignment vertical="bottom"/>
    </xf>
    <xf borderId="3" fillId="2" fontId="10" numFmtId="0" xfId="0" applyAlignment="1" applyBorder="1" applyFill="1" applyFont="1">
      <alignment shrinkToFit="0" vertical="bottom" wrapText="1"/>
    </xf>
    <xf borderId="4" fillId="0" fontId="11" numFmtId="0" xfId="0" applyBorder="1" applyFont="1"/>
    <xf borderId="2" fillId="3" fontId="12" numFmtId="0" xfId="0" applyAlignment="1" applyBorder="1" applyFill="1" applyFont="1">
      <alignment horizontal="center" shrinkToFit="0" vertical="bottom" wrapText="1"/>
    </xf>
    <xf borderId="5" fillId="2" fontId="10" numFmtId="0" xfId="0" applyAlignment="1" applyBorder="1" applyFill="1" applyFont="1">
      <alignment shrinkToFit="0" vertical="bottom" wrapText="1"/>
    </xf>
    <xf borderId="6" fillId="0" fontId="11" numFmtId="0" xfId="0" applyBorder="1" applyFont="1"/>
    <xf borderId="7" fillId="0" fontId="11" numFmtId="0" xfId="0" applyBorder="1" applyFont="1"/>
    <xf borderId="1" fillId="0" fontId="9" numFmtId="0" xfId="0" applyAlignment="1" applyBorder="1" applyFont="1">
      <alignment shrinkToFit="0" vertical="bottom" wrapText="1"/>
    </xf>
    <xf borderId="1" fillId="0" fontId="1" numFmtId="0" xfId="0" applyBorder="1" applyFont="1"/>
    <xf borderId="8" fillId="0" fontId="11" numFmtId="0" xfId="0" applyBorder="1" applyFont="1"/>
    <xf borderId="0" fillId="4" fontId="1" numFmtId="0" xfId="0" applyAlignment="1" applyFill="1" applyFont="1">
      <alignment shrinkToFit="0" vertical="bottom" wrapText="1"/>
    </xf>
    <xf borderId="3" fillId="0" fontId="13" numFmtId="0" xfId="0" applyAlignment="1" applyBorder="1" applyFont="1">
      <alignment shrinkToFit="0" vertical="bottom" wrapText="1"/>
    </xf>
    <xf borderId="0" fillId="0" fontId="1" numFmtId="0" xfId="0" applyAlignment="1" applyFont="1">
      <alignment readingOrder="0" shrinkToFit="0" wrapText="1"/>
    </xf>
    <xf borderId="3" fillId="0" fontId="1" numFmtId="0" xfId="0" applyAlignment="1" applyBorder="1" applyFont="1">
      <alignment horizontal="right" readingOrder="0" vertical="bottom"/>
    </xf>
    <xf borderId="1" fillId="5" fontId="12" numFmtId="0" xfId="0" applyAlignment="1" applyBorder="1" applyFill="1" applyFont="1">
      <alignment horizontal="center" shrinkToFit="0" vertical="bottom" wrapText="1"/>
    </xf>
    <xf borderId="0" fillId="0" fontId="14" numFmtId="0" xfId="0" applyAlignment="1" applyFont="1">
      <alignment readingOrder="0" shrinkToFit="0" vertical="bottom" wrapText="0"/>
    </xf>
    <xf borderId="0" fillId="0" fontId="14" numFmtId="0" xfId="0" applyAlignment="1" applyFont="1">
      <alignment horizontal="right" readingOrder="0" shrinkToFit="0" vertical="bottom" wrapText="0"/>
    </xf>
    <xf borderId="2" fillId="0" fontId="1" numFmtId="0" xfId="0" applyAlignment="1" applyBorder="1" applyFont="1">
      <alignment vertical="bottom"/>
    </xf>
    <xf borderId="0" fillId="5" fontId="1" numFmtId="0" xfId="0" applyAlignment="1" applyFill="1" applyFont="1">
      <alignment vertical="bottom"/>
    </xf>
    <xf borderId="0" fillId="0" fontId="1" numFmtId="0" xfId="0" applyAlignment="1" applyFont="1">
      <alignment horizontal="center" shrinkToFit="0" vertical="center" wrapText="1"/>
    </xf>
    <xf borderId="0" fillId="0" fontId="15" numFmtId="0" xfId="0" applyFont="1"/>
    <xf borderId="0" fillId="0" fontId="16" numFmtId="0" xfId="0" applyAlignment="1" applyFont="1">
      <alignment shrinkToFit="0" wrapText="1"/>
    </xf>
    <xf borderId="3" fillId="0" fontId="1" numFmtId="0" xfId="0" applyAlignment="1" applyBorder="1" applyFont="1">
      <alignment vertical="bottom"/>
    </xf>
    <xf borderId="5" fillId="0" fontId="1" numFmtId="0" xfId="0" applyAlignment="1" applyBorder="1" applyFont="1">
      <alignment vertical="bottom"/>
    </xf>
    <xf borderId="0" fillId="6" fontId="2" numFmtId="0" xfId="0" applyFill="1" applyFont="1"/>
    <xf borderId="0" fillId="4" fontId="1" numFmtId="0" xfId="0" applyAlignment="1" applyFill="1" applyFont="1">
      <alignment horizontal="right" vertical="bottom"/>
    </xf>
    <xf borderId="1" fillId="5" fontId="12" numFmtId="0" xfId="0" applyAlignment="1" applyBorder="1" applyFill="1" applyFont="1">
      <alignment horizontal="center" vertical="bottom"/>
    </xf>
    <xf borderId="0" fillId="0" fontId="17" numFmtId="0" xfId="0" applyFont="1"/>
    <xf borderId="3" fillId="0" fontId="13" numFmtId="0" xfId="0" applyAlignment="1" applyBorder="1" applyFont="1">
      <alignment vertical="bottom"/>
    </xf>
    <xf borderId="1" fillId="7" fontId="1" numFmtId="0" xfId="0" applyAlignment="1" applyBorder="1" applyFill="1" applyFont="1">
      <alignment shrinkToFit="0" vertical="bottom" wrapText="1"/>
    </xf>
    <xf borderId="1" fillId="0" fontId="13" numFmtId="0" xfId="0" applyAlignment="1" applyBorder="1" applyFont="1">
      <alignment horizontal="center" vertical="bottom"/>
    </xf>
    <xf borderId="2" fillId="0" fontId="1" numFmtId="0" xfId="0" applyAlignment="1" applyBorder="1" applyFont="1">
      <alignment readingOrder="0" vertical="bottom"/>
    </xf>
    <xf borderId="3" fillId="0" fontId="1" numFmtId="0" xfId="0" applyAlignment="1" applyBorder="1" applyFont="1">
      <alignment horizontal="right" vertical="bottom"/>
    </xf>
    <xf borderId="1" fillId="7" fontId="1" numFmtId="0" xfId="0" applyAlignment="1" applyBorder="1" applyFill="1" applyFont="1">
      <alignment shrinkToFit="0" wrapText="1"/>
    </xf>
    <xf borderId="2" fillId="0" fontId="1" numFmtId="0" xfId="0" applyAlignment="1" applyBorder="1" applyFont="1">
      <alignment readingOrder="0" shrinkToFit="0" wrapText="1"/>
    </xf>
    <xf borderId="2" fillId="0" fontId="1" numFmtId="0" xfId="0" applyAlignment="1" applyBorder="1" applyFont="1">
      <alignment readingOrder="0"/>
    </xf>
    <xf borderId="9" fillId="0" fontId="13" numFmtId="0" xfId="0" applyAlignment="1" applyBorder="1" applyFont="1">
      <alignment vertical="bottom"/>
    </xf>
    <xf borderId="1" fillId="7" fontId="1" numFmtId="0" xfId="0" applyBorder="1" applyFill="1" applyFont="1"/>
    <xf borderId="1" fillId="8" fontId="9" numFmtId="0" xfId="0" applyAlignment="1" applyBorder="1" applyFill="1" applyFont="1">
      <alignment horizontal="center" vertical="bottom"/>
    </xf>
    <xf borderId="9" fillId="0" fontId="1" numFmtId="0" xfId="0" applyAlignment="1" applyBorder="1" applyFont="1">
      <alignment horizontal="right" vertical="bottom"/>
    </xf>
    <xf borderId="2" fillId="8" fontId="9" numFmtId="0" xfId="0" applyAlignment="1" applyBorder="1" applyFill="1" applyFont="1">
      <alignment horizontal="center" vertical="bottom"/>
    </xf>
    <xf borderId="1" fillId="8" fontId="9" numFmtId="0" xfId="0" applyAlignment="1" applyBorder="1" applyFill="1" applyFont="1">
      <alignment horizontal="center" shrinkToFit="0" vertical="bottom" wrapText="1"/>
    </xf>
    <xf borderId="0" fillId="0" fontId="18" numFmtId="0" xfId="0" applyFont="1"/>
    <xf borderId="10" fillId="0" fontId="1" numFmtId="0" xfId="0" applyAlignment="1" applyBorder="1" applyFont="1">
      <alignment vertical="bottom"/>
    </xf>
    <xf borderId="2" fillId="8" fontId="9" numFmtId="0" xfId="0" applyAlignment="1" applyBorder="1" applyFill="1" applyFont="1">
      <alignment horizontal="center" shrinkToFit="0" vertical="bottom" wrapText="1"/>
    </xf>
    <xf borderId="11" fillId="0" fontId="11" numFmtId="0" xfId="0" applyBorder="1" applyFont="1"/>
    <xf borderId="12" fillId="0" fontId="11" numFmtId="0" xfId="0" applyBorder="1" applyFont="1"/>
    <xf borderId="1" fillId="7" fontId="10" numFmtId="0" xfId="0" applyAlignment="1" applyBorder="1" applyFill="1" applyFont="1">
      <alignment shrinkToFit="0" vertical="bottom" wrapText="1"/>
    </xf>
    <xf borderId="1" fillId="0" fontId="1" numFmtId="0" xfId="0" applyAlignment="1" applyBorder="1" applyFont="1">
      <alignment horizontal="right" vertical="bottom"/>
    </xf>
    <xf borderId="1" fillId="7" fontId="1" numFmtId="0" xfId="0" applyAlignment="1" applyBorder="1" applyFill="1" applyFont="1">
      <alignment horizontal="right" vertical="bottom"/>
    </xf>
    <xf borderId="1" fillId="9" fontId="1" numFmtId="0" xfId="0" applyAlignment="1" applyBorder="1" applyFill="1" applyFont="1">
      <alignment readingOrder="0" vertical="bottom"/>
    </xf>
    <xf borderId="13" fillId="10" fontId="10" numFmtId="0" xfId="0" applyAlignment="1" applyBorder="1" applyFill="1" applyFont="1">
      <alignment shrinkToFit="0" vertical="bottom" wrapText="1"/>
    </xf>
    <xf borderId="2" fillId="11" fontId="1" numFmtId="0" xfId="0" applyAlignment="1" applyBorder="1" applyFill="1" applyFont="1">
      <alignment readingOrder="0" vertical="bottom"/>
    </xf>
    <xf borderId="1" fillId="12" fontId="1" numFmtId="0" xfId="0" applyAlignment="1" applyBorder="1" applyFill="1" applyFont="1">
      <alignment readingOrder="0" vertical="bottom"/>
    </xf>
    <xf borderId="2" fillId="13" fontId="1" numFmtId="0" xfId="0" applyAlignment="1" applyBorder="1" applyFill="1" applyFont="1">
      <alignment readingOrder="0" vertical="bottom"/>
    </xf>
    <xf borderId="1" fillId="14" fontId="1" numFmtId="0" xfId="0" applyAlignment="1" applyBorder="1" applyFill="1" applyFont="1">
      <alignment readingOrder="0" vertical="bottom"/>
    </xf>
    <xf borderId="1" fillId="5" fontId="1" numFmtId="0" xfId="0" applyAlignment="1" applyBorder="1" applyFill="1" applyFont="1">
      <alignment vertical="bottom"/>
    </xf>
    <xf borderId="14" fillId="10" fontId="1" numFmtId="0" xfId="0" applyAlignment="1" applyBorder="1" applyFill="1" applyFont="1">
      <alignment shrinkToFit="0" vertical="bottom" wrapText="1"/>
    </xf>
    <xf borderId="15" fillId="0" fontId="11" numFmtId="0" xfId="0" applyBorder="1" applyFont="1"/>
    <xf borderId="16" fillId="0" fontId="11" numFmtId="0" xfId="0" applyBorder="1" applyFont="1"/>
    <xf borderId="0" fillId="0" fontId="19" numFmtId="0" xfId="0" applyAlignment="1" applyFont="1">
      <alignment shrinkToFit="0" wrapText="1"/>
    </xf>
    <xf borderId="2" fillId="15" fontId="20" numFmtId="0" xfId="0" applyAlignment="1" applyBorder="1" applyFill="1" applyFont="1">
      <alignment horizontal="center" shrinkToFit="0" vertical="bottom" wrapText="1"/>
    </xf>
    <xf borderId="1" fillId="0" fontId="9" numFmtId="0" xfId="0" applyAlignment="1" applyBorder="1" applyFont="1">
      <alignment readingOrder="0" vertical="bottom"/>
    </xf>
    <xf borderId="0" fillId="0" fontId="21" numFmtId="0" xfId="0" applyAlignment="1" applyFont="1">
      <alignment readingOrder="0" vertical="bottom"/>
    </xf>
    <xf borderId="2" fillId="4" fontId="1" numFmtId="0" xfId="0" applyAlignment="1" applyBorder="1" applyFill="1" applyFont="1">
      <alignment vertical="bottom"/>
    </xf>
    <xf borderId="17" fillId="0" fontId="1" numFmtId="0" xfId="0" applyAlignment="1" applyBorder="1" applyFont="1">
      <alignment vertical="bottom"/>
    </xf>
    <xf borderId="18" fillId="0" fontId="11" numFmtId="0" xfId="0" applyBorder="1" applyFont="1"/>
    <xf borderId="19" fillId="0" fontId="11" numFmtId="0" xfId="0" applyBorder="1" applyFont="1"/>
    <xf borderId="20" fillId="0" fontId="11" numFmtId="0" xfId="0" applyBorder="1" applyFont="1"/>
    <xf borderId="21" fillId="0" fontId="11" numFmtId="0" xfId="0" applyBorder="1" applyFont="1"/>
    <xf borderId="22" fillId="0" fontId="11" numFmtId="0" xfId="0" applyBorder="1" applyFont="1"/>
    <xf borderId="2" fillId="15" fontId="1" numFmtId="0" xfId="0" applyAlignment="1" applyBorder="1" applyFill="1" applyFont="1">
      <alignment horizontal="center"/>
    </xf>
    <xf borderId="1" fillId="0" fontId="1" numFmtId="0" xfId="0" applyAlignment="1" applyBorder="1" applyFont="1">
      <alignment shrinkToFit="0" wrapText="1"/>
    </xf>
    <xf borderId="2" fillId="0" fontId="1" numFmtId="0" xfId="0" applyAlignment="1" applyBorder="1" applyFont="1">
      <alignment horizontal="center"/>
    </xf>
    <xf borderId="0" fillId="0" fontId="19" numFmtId="0" xfId="0" applyFont="1"/>
    <xf borderId="0" fillId="16" fontId="22" numFmtId="0" xfId="0" applyFill="1" applyFont="1"/>
    <xf borderId="2" fillId="7" fontId="1" numFmtId="0" xfId="0" applyBorder="1" applyFill="1" applyFont="1"/>
    <xf borderId="17" fillId="0" fontId="1" numFmtId="0" xfId="0" applyAlignment="1" applyBorder="1" applyFont="1">
      <alignment readingOrder="0"/>
    </xf>
    <xf borderId="0" fillId="0" fontId="16" numFmtId="0" xfId="0" applyFont="1"/>
    <xf borderId="1" fillId="17" fontId="1" numFmtId="0" xfId="0" applyBorder="1" applyFill="1" applyFont="1"/>
    <xf borderId="2" fillId="17" fontId="1" numFmtId="0" xfId="0" applyBorder="1" applyFill="1" applyFont="1"/>
    <xf borderId="1" fillId="18" fontId="1" numFmtId="0" xfId="0" applyAlignment="1" applyBorder="1" applyFill="1" applyFont="1">
      <alignment shrinkToFit="0" wrapText="1"/>
    </xf>
    <xf borderId="2" fillId="18" fontId="1" numFmtId="0" xfId="0" applyBorder="1" applyFill="1" applyFont="1"/>
    <xf borderId="1" fillId="10" fontId="1" numFmtId="0" xfId="0" applyBorder="1" applyFill="1" applyFont="1"/>
    <xf borderId="2" fillId="0" fontId="23" numFmtId="0" xfId="0" applyBorder="1" applyFont="1"/>
    <xf borderId="0" fillId="0" fontId="23" numFmtId="0" xfId="0" applyFont="1"/>
    <xf borderId="23" fillId="0" fontId="11" numFmtId="0" xfId="0" applyBorder="1" applyFont="1"/>
    <xf borderId="24" fillId="0" fontId="11" numFmtId="0" xfId="0" applyBorder="1" applyFont="1"/>
    <xf borderId="2" fillId="0" fontId="23" numFmtId="0" xfId="0" applyAlignment="1" applyBorder="1" applyFont="1">
      <alignment readingOrder="0"/>
    </xf>
    <xf borderId="0" fillId="0" fontId="24" numFmtId="0" xfId="0" applyFont="1"/>
    <xf borderId="17" fillId="0" fontId="1" numFmtId="0" xfId="0" applyBorder="1" applyFont="1"/>
    <xf borderId="2" fillId="0" fontId="1" numFmtId="0" xfId="0" applyAlignment="1" applyBorder="1" applyFont="1">
      <alignment horizontal="right" vertical="bottom"/>
    </xf>
    <xf borderId="6" fillId="0" fontId="1" numFmtId="0" xfId="0" applyBorder="1" applyFont="1"/>
    <xf borderId="0" fillId="0" fontId="5" numFmtId="0" xfId="0" applyAlignment="1" applyFont="1">
      <alignment horizontal="center"/>
    </xf>
    <xf borderId="0" fillId="16" fontId="22" numFmtId="0" xfId="0" applyAlignment="1" applyFill="1" applyFont="1">
      <alignment readingOrder="0"/>
    </xf>
    <xf borderId="17" fillId="0" fontId="1" numFmtId="0" xfId="0" applyAlignment="1" applyBorder="1" applyFont="1">
      <alignment readingOrder="0" shrinkToFit="0" wrapText="1"/>
    </xf>
    <xf borderId="17" fillId="0" fontId="14" numFmtId="0" xfId="0" applyAlignment="1" applyBorder="1" applyFont="1">
      <alignment readingOrder="0" shrinkToFit="0" wrapText="1"/>
    </xf>
    <xf borderId="0" fillId="0" fontId="22"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942975</xdr:colOff>
      <xdr:row>8</xdr:row>
      <xdr:rowOff>123825</xdr:rowOff>
    </xdr:from>
    <xdr:ext cx="7600950" cy="36004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6" t="s">
        <v>2</v>
      </c>
    </row>
    <row r="3" ht="15.75" customHeight="1">
      <c r="A3" s="1"/>
    </row>
    <row r="4" ht="15.75" customHeight="1">
      <c r="A4" s="1"/>
      <c r="B4" s="7" t="s">
        <v>3</v>
      </c>
      <c r="C4" s="9" t="s">
        <v>4</v>
      </c>
    </row>
    <row r="5">
      <c r="A5" s="1"/>
      <c r="B5" s="10" t="s">
        <v>5</v>
      </c>
      <c r="C5" s="11" t="s">
        <v>7</v>
      </c>
    </row>
    <row r="6">
      <c r="A6" s="1"/>
      <c r="B6" s="10" t="s">
        <v>8</v>
      </c>
    </row>
    <row r="7" ht="15.75" customHeight="1">
      <c r="A7" s="1"/>
    </row>
    <row r="8" ht="15.75" customHeight="1">
      <c r="A8" s="13" t="s">
        <v>9</v>
      </c>
    </row>
    <row r="9" ht="15.75" customHeight="1">
      <c r="A9" s="13" t="s">
        <v>10</v>
      </c>
    </row>
    <row r="10">
      <c r="A10" s="17" t="s">
        <v>12</v>
      </c>
      <c r="B10" s="17" t="s">
        <v>15</v>
      </c>
      <c r="C10" s="17" t="s">
        <v>16</v>
      </c>
      <c r="D10" s="20" t="s">
        <v>17</v>
      </c>
      <c r="E10" s="22"/>
      <c r="F10" s="25"/>
      <c r="G10" s="26" t="s">
        <v>24</v>
      </c>
    </row>
    <row r="11">
      <c r="A11" s="27" t="s">
        <v>25</v>
      </c>
      <c r="B11" s="29">
        <v>15.0</v>
      </c>
      <c r="C11" s="38">
        <f>S.2!C6+S.3!C6+S.4!C6+S.5!C6+S.6!C6+S.7!C6+S.8!C6+S.9!C6+S.10!C6+S.11!C6</f>
        <v>1105</v>
      </c>
      <c r="D11" s="39"/>
      <c r="E11" s="22"/>
      <c r="F11" s="25"/>
      <c r="G11" s="41">
        <v>10.0</v>
      </c>
    </row>
    <row r="12" ht="15.75" customHeight="1">
      <c r="A12" s="44" t="s">
        <v>52</v>
      </c>
      <c r="B12" s="48">
        <f>Proyectos!C6</f>
        <v>75</v>
      </c>
      <c r="C12" s="38">
        <f>Proyectos!C5</f>
        <v>110</v>
      </c>
      <c r="D12" s="39"/>
      <c r="E12" s="22"/>
      <c r="F12" s="25"/>
      <c r="G12" s="41">
        <v>60.0</v>
      </c>
    </row>
    <row r="13" ht="15.75" customHeight="1">
      <c r="A13" s="44" t="s">
        <v>65</v>
      </c>
      <c r="B13" s="48">
        <f>Practicas!C6</f>
        <v>0</v>
      </c>
      <c r="C13" s="38">
        <f>Practicas!C5</f>
        <v>0</v>
      </c>
      <c r="D13" s="39"/>
      <c r="E13" s="22"/>
      <c r="F13" s="25"/>
      <c r="G13" s="41">
        <v>20.0</v>
      </c>
    </row>
    <row r="14" ht="15.75" customHeight="1">
      <c r="A14" s="52" t="s">
        <v>74</v>
      </c>
      <c r="B14" s="55">
        <f>Tareas!C6</f>
        <v>10</v>
      </c>
      <c r="C14" s="38">
        <f>Tareas!C5</f>
        <v>11</v>
      </c>
      <c r="D14" s="59"/>
      <c r="E14" s="61"/>
      <c r="F14" s="62"/>
      <c r="G14" s="41">
        <v>10.0</v>
      </c>
    </row>
    <row r="15" ht="15.75" customHeight="1">
      <c r="A15" s="63" t="s">
        <v>91</v>
      </c>
      <c r="B15" s="65">
        <f t="shared" ref="B15:C15" si="1">SUM(B11:B14)</f>
        <v>100</v>
      </c>
      <c r="C15" s="65">
        <f t="shared" si="1"/>
        <v>1226</v>
      </c>
      <c r="D15" s="67" t="s">
        <v>104</v>
      </c>
      <c r="E15" s="73"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Actividades durante el peridodo de laboratorio (15&gt;10); Proyectos (75&gt;60)")</f>
        <v>❌ Revisar: Exceden: Actividades durante el peridodo de laboratorio (15&gt;10); Proyectos (75&gt;60)</v>
      </c>
      <c r="F15" s="74"/>
      <c r="G15" s="75"/>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
      <c r="B1" s="5" t="s">
        <v>1</v>
      </c>
      <c r="Q1" s="3"/>
      <c r="R1" s="3"/>
      <c r="S1" s="3"/>
      <c r="T1" s="3"/>
      <c r="U1" s="3"/>
      <c r="V1" s="3"/>
      <c r="W1" s="3"/>
      <c r="X1" s="3"/>
      <c r="Y1" s="3"/>
      <c r="Z1" s="3"/>
    </row>
    <row r="2">
      <c r="A2" s="3"/>
      <c r="B2" s="7" t="s">
        <v>3</v>
      </c>
      <c r="C2" s="7"/>
      <c r="I2" s="3"/>
      <c r="J2" s="3"/>
      <c r="K2" s="3"/>
      <c r="L2" s="3"/>
      <c r="M2" s="3"/>
      <c r="N2" s="3"/>
      <c r="O2" s="3"/>
      <c r="P2" s="3"/>
      <c r="Q2" s="3"/>
      <c r="R2" s="3"/>
      <c r="S2" s="3"/>
      <c r="T2" s="3"/>
      <c r="U2" s="3"/>
      <c r="V2" s="3"/>
      <c r="W2" s="3"/>
      <c r="X2" s="3"/>
      <c r="Y2" s="3"/>
      <c r="Z2" s="3"/>
    </row>
    <row r="3">
      <c r="A3" s="3"/>
      <c r="B3" s="7" t="s">
        <v>5</v>
      </c>
      <c r="C3" s="11" t="s">
        <v>7</v>
      </c>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19" t="s">
        <v>13</v>
      </c>
      <c r="C5" s="18"/>
      <c r="D5" s="18"/>
      <c r="E5" s="18"/>
      <c r="F5" s="18"/>
      <c r="G5" s="21"/>
      <c r="H5" s="3"/>
      <c r="I5" s="19" t="s">
        <v>19</v>
      </c>
      <c r="J5" s="18"/>
      <c r="K5" s="18"/>
      <c r="L5" s="18"/>
      <c r="M5" s="18"/>
      <c r="N5" s="18"/>
      <c r="O5" s="18"/>
      <c r="P5" s="21"/>
      <c r="Q5" s="3"/>
      <c r="R5" s="3"/>
      <c r="S5" s="3"/>
      <c r="T5" s="3"/>
      <c r="U5" s="3"/>
      <c r="V5" s="3"/>
      <c r="W5" s="3"/>
      <c r="X5" s="3"/>
      <c r="Y5" s="3"/>
      <c r="Z5" s="3"/>
    </row>
    <row r="6">
      <c r="A6" s="3"/>
      <c r="B6" s="30">
        <v>1.0</v>
      </c>
      <c r="C6" s="33"/>
      <c r="D6" s="18"/>
      <c r="E6" s="18"/>
      <c r="F6" s="18"/>
      <c r="G6" s="21"/>
      <c r="H6" s="34"/>
      <c r="I6" s="30">
        <v>1.0</v>
      </c>
      <c r="J6" s="33"/>
      <c r="K6" s="18"/>
      <c r="L6" s="18"/>
      <c r="M6" s="18"/>
      <c r="N6" s="18"/>
      <c r="O6" s="18"/>
      <c r="P6" s="21"/>
      <c r="Q6" s="3"/>
      <c r="R6" s="3"/>
      <c r="S6" s="3"/>
      <c r="T6" s="3"/>
      <c r="U6" s="3"/>
      <c r="V6" s="3"/>
      <c r="W6" s="3"/>
      <c r="X6" s="3"/>
      <c r="Y6" s="3"/>
      <c r="Z6" s="3"/>
    </row>
    <row r="7">
      <c r="A7" s="3"/>
      <c r="B7" s="42">
        <v>2.0</v>
      </c>
      <c r="C7" s="33"/>
      <c r="D7" s="18"/>
      <c r="E7" s="18"/>
      <c r="F7" s="18"/>
      <c r="G7" s="21"/>
      <c r="H7" s="3"/>
      <c r="I7" s="46">
        <v>2.0</v>
      </c>
      <c r="J7" s="33"/>
      <c r="K7" s="18"/>
      <c r="L7" s="18"/>
      <c r="M7" s="18"/>
      <c r="N7" s="18"/>
      <c r="O7" s="18"/>
      <c r="P7" s="21"/>
      <c r="Q7" s="3"/>
      <c r="R7" s="3"/>
      <c r="S7" s="3"/>
      <c r="T7" s="3"/>
      <c r="U7" s="3"/>
      <c r="V7" s="3"/>
      <c r="W7" s="3"/>
      <c r="X7" s="3"/>
      <c r="Y7" s="3"/>
      <c r="Z7" s="3"/>
    </row>
    <row r="8">
      <c r="A8" s="3"/>
      <c r="B8" s="42">
        <v>3.0</v>
      </c>
      <c r="C8" s="33"/>
      <c r="D8" s="18"/>
      <c r="E8" s="18"/>
      <c r="F8" s="18"/>
      <c r="G8" s="21"/>
      <c r="H8" s="3"/>
      <c r="I8" s="46">
        <v>3.0</v>
      </c>
      <c r="J8" s="33"/>
      <c r="K8" s="18"/>
      <c r="L8" s="18"/>
      <c r="M8" s="18"/>
      <c r="N8" s="18"/>
      <c r="O8" s="18"/>
      <c r="P8" s="21"/>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54" t="s">
        <v>77</v>
      </c>
      <c r="C11" s="54" t="s">
        <v>78</v>
      </c>
      <c r="D11" s="54" t="s">
        <v>79</v>
      </c>
      <c r="E11" s="56" t="s">
        <v>80</v>
      </c>
      <c r="F11" s="21"/>
      <c r="G11" s="57" t="s">
        <v>85</v>
      </c>
      <c r="H11" s="60" t="s">
        <v>87</v>
      </c>
      <c r="I11" s="21"/>
      <c r="J11" s="54" t="s">
        <v>89</v>
      </c>
      <c r="K11" s="3"/>
      <c r="L11" s="3"/>
      <c r="M11" s="3"/>
      <c r="N11" s="3"/>
      <c r="O11" s="3"/>
      <c r="P11" s="3"/>
      <c r="Q11" s="3"/>
      <c r="R11" s="3"/>
      <c r="S11" s="3"/>
      <c r="T11" s="3"/>
      <c r="U11" s="3"/>
      <c r="V11" s="3"/>
      <c r="W11" s="3"/>
      <c r="X11" s="3"/>
      <c r="Y11" s="3"/>
      <c r="Z11" s="3"/>
    </row>
    <row r="12">
      <c r="A12" s="3"/>
      <c r="B12" s="64">
        <v>1.0</v>
      </c>
      <c r="C12" s="16" t="s">
        <v>95</v>
      </c>
      <c r="D12" s="66" t="s">
        <v>98</v>
      </c>
      <c r="E12" s="68" t="s">
        <v>102</v>
      </c>
      <c r="F12" s="21"/>
      <c r="G12" s="69" t="s">
        <v>106</v>
      </c>
      <c r="H12" s="70" t="s">
        <v>112</v>
      </c>
      <c r="I12" s="21"/>
      <c r="J12" s="71" t="s">
        <v>114</v>
      </c>
      <c r="K12" s="3"/>
      <c r="L12" s="3"/>
      <c r="M12" s="3"/>
      <c r="N12" s="3"/>
      <c r="O12" s="3"/>
      <c r="P12" s="3"/>
      <c r="Q12" s="3"/>
      <c r="R12" s="3"/>
      <c r="S12" s="3"/>
      <c r="T12" s="3"/>
      <c r="U12" s="3"/>
      <c r="V12" s="3"/>
      <c r="W12" s="3"/>
      <c r="X12" s="3"/>
      <c r="Y12" s="3"/>
      <c r="Z12" s="3"/>
    </row>
    <row r="13">
      <c r="A13" s="3"/>
      <c r="B13" s="72"/>
      <c r="C13" s="77" t="str">
        <f>D12 &amp; " " &amp; E12 &amp; " " &amp;G12&amp; " " &amp;H12&amp; " " </f>
        <v>Aplica y hace uso de todos los objetos que  SIMIO brinda en sus librerias empleando los conocimientos adquiridos en el laboratori para poder realizar los modelos basados en la vida real según sean necesarios. </v>
      </c>
      <c r="D13" s="18"/>
      <c r="E13" s="18"/>
      <c r="F13" s="18"/>
      <c r="G13" s="18"/>
      <c r="H13" s="18"/>
      <c r="I13" s="18"/>
      <c r="J13" s="21"/>
      <c r="K13" s="3"/>
      <c r="L13" s="3"/>
      <c r="M13" s="3"/>
      <c r="N13" s="3"/>
      <c r="O13" s="3"/>
      <c r="P13" s="3"/>
      <c r="Q13" s="3"/>
      <c r="R13" s="3"/>
      <c r="S13" s="3"/>
      <c r="T13" s="3"/>
      <c r="U13" s="3"/>
      <c r="V13" s="3"/>
      <c r="W13" s="3"/>
      <c r="X13" s="3"/>
      <c r="Y13" s="3"/>
      <c r="Z13" s="3"/>
    </row>
    <row r="14">
      <c r="A14" s="3"/>
      <c r="B14" s="64">
        <v>2.0</v>
      </c>
      <c r="C14" s="16" t="s">
        <v>95</v>
      </c>
      <c r="D14" s="66" t="s">
        <v>120</v>
      </c>
      <c r="E14" s="68" t="s">
        <v>121</v>
      </c>
      <c r="F14" s="21"/>
      <c r="G14" s="69" t="s">
        <v>122</v>
      </c>
      <c r="H14" s="70" t="s">
        <v>123</v>
      </c>
      <c r="I14" s="21"/>
      <c r="J14" s="71" t="s">
        <v>124</v>
      </c>
      <c r="K14" s="3"/>
      <c r="L14" s="3"/>
      <c r="M14" s="3"/>
      <c r="N14" s="3"/>
      <c r="O14" s="3"/>
      <c r="P14" s="3"/>
      <c r="Q14" s="3"/>
      <c r="R14" s="3"/>
      <c r="S14" s="3"/>
      <c r="T14" s="3"/>
      <c r="U14" s="3"/>
      <c r="V14" s="3"/>
      <c r="W14" s="3"/>
      <c r="X14" s="3"/>
      <c r="Y14" s="3"/>
      <c r="Z14" s="3"/>
    </row>
    <row r="15">
      <c r="A15" s="3"/>
      <c r="B15" s="72"/>
      <c r="C15" s="77" t="str">
        <f>D14 &amp; " " &amp; E14 &amp; " " &amp;G14&amp; " " &amp;H14&amp; " " </f>
        <v>Evalua ganancias, costos y gastos  empleando herramientas de simulación con SIMIO con el fin de prevenir perdidas y tener mejor control financiero. </v>
      </c>
      <c r="D15" s="18"/>
      <c r="E15" s="18"/>
      <c r="F15" s="18"/>
      <c r="G15" s="18"/>
      <c r="H15" s="18"/>
      <c r="I15" s="18"/>
      <c r="J15" s="21"/>
      <c r="K15" s="3"/>
      <c r="L15" s="3"/>
      <c r="M15" s="3"/>
      <c r="N15" s="3"/>
      <c r="O15" s="3"/>
      <c r="P15" s="3"/>
      <c r="Q15" s="3"/>
      <c r="R15" s="3"/>
      <c r="S15" s="3"/>
      <c r="T15" s="3"/>
      <c r="U15" s="3"/>
      <c r="V15" s="3"/>
      <c r="W15" s="3"/>
      <c r="X15" s="3"/>
      <c r="Y15" s="3"/>
      <c r="Z15" s="3"/>
    </row>
    <row r="16">
      <c r="A16" s="3"/>
      <c r="B16" s="64">
        <v>3.0</v>
      </c>
      <c r="C16" s="16" t="s">
        <v>95</v>
      </c>
      <c r="D16" s="66" t="s">
        <v>129</v>
      </c>
      <c r="E16" s="68" t="s">
        <v>130</v>
      </c>
      <c r="F16" s="21"/>
      <c r="G16" s="69" t="s">
        <v>132</v>
      </c>
      <c r="H16" s="70" t="s">
        <v>133</v>
      </c>
      <c r="I16" s="21"/>
      <c r="J16" s="71" t="s">
        <v>136</v>
      </c>
      <c r="K16" s="3"/>
      <c r="L16" s="3"/>
      <c r="M16" s="3"/>
      <c r="N16" s="3"/>
      <c r="O16" s="3"/>
      <c r="P16" s="3"/>
      <c r="Q16" s="3"/>
      <c r="R16" s="3"/>
      <c r="S16" s="3"/>
      <c r="T16" s="3"/>
      <c r="U16" s="3"/>
      <c r="V16" s="3"/>
      <c r="W16" s="3"/>
      <c r="X16" s="3"/>
      <c r="Y16" s="3"/>
      <c r="Z16" s="3"/>
    </row>
    <row r="17">
      <c r="A17" s="3"/>
      <c r="B17" s="72"/>
      <c r="C17" s="77" t="str">
        <f>D16 &amp; " " &amp; E16 &amp; " " &amp;G16&amp; " " &amp;H16&amp; " " </f>
        <v>Analiza con lógica y conocimiento de simulación empleado herramientas de simulación con SIMIO enfocado a presentar soluciones profesionales </v>
      </c>
      <c r="D17" s="18"/>
      <c r="E17" s="18"/>
      <c r="F17" s="18"/>
      <c r="G17" s="18"/>
      <c r="H17" s="18"/>
      <c r="I17" s="18"/>
      <c r="J17" s="21"/>
      <c r="K17" s="3"/>
      <c r="L17" s="3"/>
      <c r="M17" s="3"/>
      <c r="N17" s="3"/>
      <c r="O17" s="3"/>
      <c r="P17" s="3"/>
      <c r="Q17" s="3"/>
      <c r="R17" s="3"/>
      <c r="S17" s="3"/>
      <c r="T17" s="3"/>
      <c r="U17" s="3"/>
      <c r="V17" s="3"/>
      <c r="W17" s="3"/>
      <c r="X17" s="3"/>
      <c r="Y17" s="3"/>
      <c r="Z17" s="3"/>
    </row>
    <row r="18">
      <c r="A18" s="3"/>
      <c r="B18" s="64">
        <v>4.0</v>
      </c>
      <c r="C18" s="16" t="s">
        <v>95</v>
      </c>
      <c r="D18" s="66" t="s">
        <v>98</v>
      </c>
      <c r="E18" s="68" t="s">
        <v>142</v>
      </c>
      <c r="F18" s="21"/>
      <c r="G18" s="69" t="s">
        <v>143</v>
      </c>
      <c r="H18" s="70" t="s">
        <v>112</v>
      </c>
      <c r="I18" s="21"/>
      <c r="J18" s="71" t="s">
        <v>114</v>
      </c>
      <c r="K18" s="3"/>
      <c r="L18" s="3"/>
      <c r="M18" s="3"/>
      <c r="N18" s="3"/>
      <c r="O18" s="3"/>
      <c r="P18" s="3"/>
      <c r="Q18" s="3"/>
      <c r="R18" s="3"/>
      <c r="S18" s="3"/>
      <c r="T18" s="3"/>
      <c r="U18" s="3"/>
      <c r="V18" s="3"/>
      <c r="W18" s="3"/>
      <c r="X18" s="3"/>
      <c r="Y18" s="3"/>
      <c r="Z18" s="3"/>
    </row>
    <row r="19">
      <c r="A19" s="3"/>
      <c r="B19" s="72"/>
      <c r="C19" s="77" t="str">
        <f>D18 &amp; " " &amp; E18 &amp; " " &amp;G18&amp; " " &amp;H18&amp; " " </f>
        <v>Aplica y hace uso de todos los objetos que SIMIO brinda en sus librerias empleando los conocimientos adquiridos en el laboratorio para poder realizar los modelos basados en la vida real según sean necesarios. </v>
      </c>
      <c r="D19" s="18"/>
      <c r="E19" s="18"/>
      <c r="F19" s="18"/>
      <c r="G19" s="18"/>
      <c r="H19" s="18"/>
      <c r="I19" s="18"/>
      <c r="J19" s="21"/>
      <c r="K19" s="3"/>
      <c r="L19" s="3"/>
      <c r="M19" s="3"/>
      <c r="N19" s="3"/>
      <c r="O19" s="3"/>
      <c r="P19" s="3"/>
      <c r="Q19" s="3"/>
      <c r="R19" s="3"/>
      <c r="S19" s="3"/>
      <c r="T19" s="3"/>
      <c r="U19" s="3"/>
      <c r="V19" s="3"/>
      <c r="W19" s="3"/>
      <c r="X19" s="3"/>
      <c r="Y19" s="3"/>
      <c r="Z19" s="3"/>
    </row>
    <row r="20">
      <c r="A20" s="3"/>
      <c r="B20" s="64">
        <v>5.0</v>
      </c>
      <c r="C20" s="78" t="s">
        <v>147</v>
      </c>
      <c r="D20" s="66" t="s">
        <v>148</v>
      </c>
      <c r="E20" s="68" t="s">
        <v>149</v>
      </c>
      <c r="F20" s="21"/>
      <c r="G20" s="69" t="s">
        <v>150</v>
      </c>
      <c r="H20" s="70" t="s">
        <v>151</v>
      </c>
      <c r="I20" s="21"/>
      <c r="J20" s="71" t="s">
        <v>152</v>
      </c>
      <c r="K20" s="3"/>
      <c r="L20" s="3"/>
      <c r="M20" s="3"/>
      <c r="N20" s="3"/>
      <c r="O20" s="3"/>
      <c r="P20" s="3"/>
      <c r="Q20" s="3"/>
      <c r="R20" s="3"/>
      <c r="S20" s="3"/>
      <c r="T20" s="3"/>
      <c r="U20" s="3"/>
      <c r="V20" s="3"/>
      <c r="W20" s="3"/>
      <c r="X20" s="3"/>
      <c r="Y20" s="3"/>
      <c r="Z20" s="3"/>
    </row>
    <row r="21">
      <c r="A21" s="3"/>
      <c r="B21" s="72"/>
      <c r="C21" s="77" t="str">
        <f>D20 &amp; " " &amp; E20 &amp; " " &amp;G20&amp; " " &amp;H20&amp; " " </f>
        <v>Crea modelos a la medida por medio del software SIMIO  para resolución y optimiización de procesos empresariales </v>
      </c>
      <c r="D21" s="18"/>
      <c r="E21" s="18"/>
      <c r="F21" s="18"/>
      <c r="G21" s="18"/>
      <c r="H21" s="18"/>
      <c r="I21" s="18"/>
      <c r="J21" s="21"/>
      <c r="K21" s="3"/>
      <c r="L21" s="3"/>
      <c r="M21" s="3"/>
      <c r="N21" s="3"/>
      <c r="O21" s="3"/>
      <c r="P21" s="3"/>
      <c r="Q21" s="3"/>
      <c r="R21" s="3"/>
      <c r="S21" s="3"/>
      <c r="T21" s="3"/>
      <c r="U21" s="3"/>
      <c r="V21" s="3"/>
      <c r="W21" s="3"/>
      <c r="X21" s="3"/>
      <c r="Y21" s="3"/>
      <c r="Z21" s="3"/>
    </row>
    <row r="22">
      <c r="A22" s="3"/>
      <c r="B22" s="64">
        <v>6.0</v>
      </c>
      <c r="C22" s="78" t="s">
        <v>147</v>
      </c>
      <c r="D22" s="66" t="s">
        <v>153</v>
      </c>
      <c r="E22" s="68" t="s">
        <v>154</v>
      </c>
      <c r="F22" s="21"/>
      <c r="G22" s="69" t="s">
        <v>155</v>
      </c>
      <c r="H22" s="70" t="s">
        <v>156</v>
      </c>
      <c r="I22" s="21"/>
      <c r="J22" s="71" t="s">
        <v>157</v>
      </c>
      <c r="K22" s="3"/>
      <c r="L22" s="3"/>
      <c r="M22" s="3"/>
      <c r="N22" s="3"/>
      <c r="O22" s="3"/>
      <c r="P22" s="3"/>
      <c r="Q22" s="3"/>
      <c r="R22" s="3"/>
      <c r="S22" s="3"/>
      <c r="T22" s="3"/>
      <c r="U22" s="3"/>
      <c r="V22" s="3"/>
      <c r="W22" s="3"/>
      <c r="X22" s="3"/>
      <c r="Y22" s="3"/>
      <c r="Z22" s="3"/>
    </row>
    <row r="23">
      <c r="A23" s="3"/>
      <c r="B23" s="72"/>
      <c r="C23" s="77" t="str">
        <f>D22 &amp; " " &amp; E22 &amp; " " &amp;G22&amp; " " &amp;H22&amp; " " </f>
        <v>Recuerda los conocimientos y las herramientas que fueron empleadas en SIMIO realizando ejercicios para recuperar sus habilidades para ponerlos en practica en el curso de modelación y simulación 2. </v>
      </c>
      <c r="D23" s="18"/>
      <c r="E23" s="18"/>
      <c r="F23" s="18"/>
      <c r="G23" s="18"/>
      <c r="H23" s="18"/>
      <c r="I23" s="18"/>
      <c r="J23" s="21"/>
      <c r="K23" s="3"/>
      <c r="L23" s="3"/>
      <c r="M23" s="3"/>
      <c r="N23" s="3"/>
      <c r="O23" s="3"/>
      <c r="P23" s="3"/>
      <c r="Q23" s="3"/>
      <c r="R23" s="3"/>
      <c r="S23" s="3"/>
      <c r="T23" s="3"/>
      <c r="U23" s="3"/>
      <c r="V23" s="3"/>
      <c r="W23" s="3"/>
      <c r="X23" s="3"/>
      <c r="Y23" s="3"/>
      <c r="Z23" s="3"/>
    </row>
    <row r="24">
      <c r="A24" s="3"/>
      <c r="B24" s="64">
        <v>7.0</v>
      </c>
      <c r="C24" s="16" t="s">
        <v>95</v>
      </c>
      <c r="D24" s="66" t="s">
        <v>158</v>
      </c>
      <c r="E24" s="68" t="s">
        <v>159</v>
      </c>
      <c r="F24" s="21"/>
      <c r="G24" s="69" t="s">
        <v>122</v>
      </c>
      <c r="H24" s="70" t="s">
        <v>160</v>
      </c>
      <c r="I24" s="21"/>
      <c r="J24" s="71" t="s">
        <v>161</v>
      </c>
      <c r="K24" s="3"/>
      <c r="L24" s="3"/>
      <c r="M24" s="3"/>
      <c r="N24" s="3"/>
      <c r="O24" s="3"/>
      <c r="P24" s="3"/>
      <c r="Q24" s="3"/>
      <c r="R24" s="3"/>
      <c r="S24" s="3"/>
      <c r="T24" s="3"/>
      <c r="U24" s="3"/>
      <c r="V24" s="3"/>
      <c r="W24" s="3"/>
      <c r="X24" s="3"/>
      <c r="Y24" s="3"/>
      <c r="Z24" s="3"/>
    </row>
    <row r="25">
      <c r="A25" s="3"/>
      <c r="B25" s="72"/>
      <c r="C25" s="77" t="str">
        <f>D24 &amp; " " &amp; E24 &amp; " " &amp;G24&amp; " " &amp;H24&amp; " " </f>
        <v>Comprende el funcionamiento del modelado por medio del análisis de documentación empleando herramientas de simulación con SIMIO con el fin de ponerlo en práctica en tareas del laboratorio </v>
      </c>
      <c r="D25" s="18"/>
      <c r="E25" s="18"/>
      <c r="F25" s="18"/>
      <c r="G25" s="18"/>
      <c r="H25" s="18"/>
      <c r="I25" s="18"/>
      <c r="J25" s="21"/>
      <c r="K25" s="3"/>
      <c r="L25" s="79" t="s">
        <v>162</v>
      </c>
      <c r="M25" s="3"/>
      <c r="N25" s="3"/>
      <c r="O25" s="3"/>
      <c r="P25" s="3"/>
      <c r="Q25" s="3"/>
      <c r="R25" s="3"/>
      <c r="S25" s="3"/>
      <c r="T25" s="3"/>
      <c r="U25" s="3"/>
      <c r="V25" s="3"/>
      <c r="W25" s="3"/>
      <c r="X25" s="3"/>
      <c r="Y25" s="3"/>
      <c r="Z25" s="3"/>
    </row>
    <row r="26">
      <c r="A26" s="3"/>
      <c r="B26" s="3"/>
      <c r="C26" s="3"/>
      <c r="D26" s="3"/>
      <c r="E26" s="3"/>
      <c r="F26" s="3"/>
      <c r="G26" s="3"/>
      <c r="H26" s="3"/>
      <c r="I26" s="3"/>
      <c r="J26" s="3"/>
      <c r="K26" s="3"/>
      <c r="L26" s="79" t="s">
        <v>163</v>
      </c>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80" t="s">
        <v>164</v>
      </c>
      <c r="C28" s="18"/>
      <c r="D28" s="18"/>
      <c r="E28" s="18"/>
      <c r="F28" s="18"/>
      <c r="G28" s="18"/>
      <c r="H28" s="18"/>
      <c r="I28" s="18"/>
      <c r="J28" s="21"/>
      <c r="K28" s="3"/>
      <c r="L28" s="3"/>
      <c r="M28" s="3"/>
      <c r="N28" s="3"/>
      <c r="O28" s="3"/>
      <c r="P28" s="3"/>
      <c r="Q28" s="3"/>
      <c r="R28" s="3"/>
      <c r="S28" s="3"/>
      <c r="T28" s="3"/>
      <c r="U28" s="3"/>
      <c r="V28" s="3"/>
      <c r="W28" s="3"/>
      <c r="X28" s="3"/>
      <c r="Y28" s="3"/>
      <c r="Z28" s="3"/>
    </row>
    <row r="29">
      <c r="A29" s="3"/>
      <c r="B29" s="81"/>
      <c r="C29" s="82"/>
      <c r="D29" s="82"/>
      <c r="E29" s="82"/>
      <c r="F29" s="82"/>
      <c r="G29" s="82"/>
      <c r="H29" s="82"/>
      <c r="I29" s="82"/>
      <c r="J29" s="83"/>
      <c r="K29" s="3"/>
      <c r="L29" s="3"/>
      <c r="M29" s="3"/>
      <c r="N29" s="3"/>
      <c r="O29" s="3"/>
      <c r="P29" s="3"/>
      <c r="Q29" s="3"/>
      <c r="R29" s="3"/>
      <c r="S29" s="3"/>
      <c r="T29" s="3"/>
      <c r="U29" s="3"/>
      <c r="V29" s="3"/>
      <c r="W29" s="3"/>
      <c r="X29" s="3"/>
      <c r="Y29" s="3"/>
      <c r="Z29" s="3"/>
    </row>
    <row r="30">
      <c r="A30" s="3"/>
      <c r="B30" s="84"/>
      <c r="C30" s="85"/>
      <c r="D30" s="85"/>
      <c r="E30" s="85"/>
      <c r="F30" s="85"/>
      <c r="G30" s="85"/>
      <c r="H30" s="85"/>
      <c r="I30" s="85"/>
      <c r="J30" s="86"/>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s>
  <sheetData>
    <row r="1" ht="15.75" customHeight="1"/>
    <row r="2" ht="15.75" customHeight="1">
      <c r="A2" s="2"/>
      <c r="B2" s="4" t="s">
        <v>0</v>
      </c>
    </row>
    <row r="3" ht="15.75" customHeight="1"/>
    <row r="4" ht="15.75" customHeight="1">
      <c r="B4" s="7" t="s">
        <v>3</v>
      </c>
      <c r="C4" s="9" t="s">
        <v>4</v>
      </c>
    </row>
    <row r="5" ht="15.75" customHeight="1">
      <c r="B5" s="7" t="s">
        <v>6</v>
      </c>
      <c r="C5" s="11" t="s">
        <v>7</v>
      </c>
    </row>
    <row r="6" ht="15.75" customHeight="1">
      <c r="H6" s="12"/>
    </row>
    <row r="7" ht="15.75" customHeight="1">
      <c r="H7" s="12"/>
    </row>
    <row r="8" ht="15.75" customHeight="1">
      <c r="A8" s="14"/>
      <c r="B8" s="16" t="s">
        <v>11</v>
      </c>
      <c r="C8" s="23" t="s">
        <v>14</v>
      </c>
      <c r="D8" s="16" t="s">
        <v>20</v>
      </c>
      <c r="E8" s="16" t="s">
        <v>21</v>
      </c>
      <c r="F8" s="16" t="s">
        <v>22</v>
      </c>
      <c r="G8" s="16" t="s">
        <v>23</v>
      </c>
      <c r="H8" s="16" t="s">
        <v>18</v>
      </c>
    </row>
    <row r="9" ht="15.75" customHeight="1">
      <c r="B9" s="11">
        <v>1.0</v>
      </c>
      <c r="C9" s="28" t="s">
        <v>27</v>
      </c>
      <c r="D9" s="31" t="s">
        <v>28</v>
      </c>
      <c r="E9" s="31" t="s">
        <v>29</v>
      </c>
      <c r="F9" s="31" t="s">
        <v>30</v>
      </c>
      <c r="G9" s="32">
        <v>1.0</v>
      </c>
      <c r="H9" s="32">
        <v>2.0</v>
      </c>
    </row>
    <row r="10" ht="15.75" customHeight="1">
      <c r="B10" s="11">
        <v>2.0</v>
      </c>
      <c r="C10" s="28" t="s">
        <v>31</v>
      </c>
      <c r="D10" s="31" t="s">
        <v>32</v>
      </c>
      <c r="E10" s="31" t="s">
        <v>33</v>
      </c>
      <c r="F10" s="31" t="s">
        <v>34</v>
      </c>
      <c r="G10" s="32">
        <v>2.0</v>
      </c>
      <c r="H10" s="32">
        <v>4.0</v>
      </c>
    </row>
    <row r="11" ht="15.75" customHeight="1">
      <c r="B11" s="11">
        <v>3.0</v>
      </c>
      <c r="C11" s="28" t="s">
        <v>31</v>
      </c>
      <c r="D11" s="31" t="s">
        <v>35</v>
      </c>
      <c r="E11" s="31" t="s">
        <v>36</v>
      </c>
      <c r="F11" s="31" t="s">
        <v>37</v>
      </c>
      <c r="G11" s="32">
        <v>3.0</v>
      </c>
      <c r="H11" s="32">
        <v>6.0</v>
      </c>
    </row>
    <row r="12" ht="15.75" customHeight="1">
      <c r="B12" s="11">
        <v>4.0</v>
      </c>
      <c r="C12" s="28" t="s">
        <v>38</v>
      </c>
      <c r="D12" s="31" t="s">
        <v>41</v>
      </c>
      <c r="E12" s="31" t="s">
        <v>42</v>
      </c>
      <c r="F12" s="31" t="s">
        <v>44</v>
      </c>
      <c r="G12" s="32">
        <v>3.0</v>
      </c>
      <c r="H12" s="32">
        <v>8.0</v>
      </c>
    </row>
    <row r="13" ht="15.75" customHeight="1">
      <c r="B13" s="11">
        <v>5.0</v>
      </c>
      <c r="C13" s="28" t="s">
        <v>31</v>
      </c>
      <c r="D13" s="31" t="s">
        <v>45</v>
      </c>
      <c r="E13" s="31" t="s">
        <v>46</v>
      </c>
      <c r="F13" s="31" t="s">
        <v>47</v>
      </c>
      <c r="G13" s="32">
        <v>4.0</v>
      </c>
      <c r="H13" s="32">
        <v>10.0</v>
      </c>
    </row>
    <row r="14" ht="15.75" customHeight="1">
      <c r="B14" s="11">
        <v>6.0</v>
      </c>
      <c r="C14" s="28" t="s">
        <v>31</v>
      </c>
      <c r="D14" s="31" t="s">
        <v>48</v>
      </c>
      <c r="E14" s="31" t="s">
        <v>49</v>
      </c>
      <c r="F14" s="31" t="s">
        <v>51</v>
      </c>
      <c r="G14" s="32">
        <v>1.0</v>
      </c>
      <c r="H14" s="32">
        <v>3.0</v>
      </c>
    </row>
    <row r="15" ht="15.75" customHeight="1">
      <c r="B15" s="11">
        <v>7.0</v>
      </c>
      <c r="C15" s="28" t="s">
        <v>31</v>
      </c>
      <c r="D15" s="31" t="s">
        <v>48</v>
      </c>
      <c r="E15" s="31" t="s">
        <v>49</v>
      </c>
      <c r="F15" s="31" t="s">
        <v>54</v>
      </c>
      <c r="G15" s="32">
        <v>1.0</v>
      </c>
      <c r="H15" s="32">
        <v>3.0</v>
      </c>
    </row>
    <row r="16" ht="15.75" customHeight="1">
      <c r="B16" s="11">
        <v>8.0</v>
      </c>
      <c r="C16" s="28" t="s">
        <v>31</v>
      </c>
      <c r="D16" s="31" t="s">
        <v>48</v>
      </c>
      <c r="E16" s="31" t="s">
        <v>49</v>
      </c>
      <c r="F16" s="31" t="s">
        <v>56</v>
      </c>
      <c r="G16" s="32">
        <v>1.0</v>
      </c>
      <c r="H16" s="32">
        <v>3.0</v>
      </c>
    </row>
    <row r="17" ht="15.75" customHeight="1">
      <c r="B17" s="11">
        <v>9.0</v>
      </c>
      <c r="C17" s="28" t="s">
        <v>31</v>
      </c>
      <c r="D17" s="31" t="s">
        <v>48</v>
      </c>
      <c r="E17" s="31" t="s">
        <v>49</v>
      </c>
      <c r="F17" s="31" t="s">
        <v>57</v>
      </c>
      <c r="G17" s="32">
        <v>1.0</v>
      </c>
      <c r="H17" s="32">
        <v>3.0</v>
      </c>
    </row>
    <row r="18" ht="15.75" customHeight="1">
      <c r="B18" s="11">
        <v>10.0</v>
      </c>
      <c r="C18" s="28" t="s">
        <v>31</v>
      </c>
      <c r="D18" s="31" t="s">
        <v>48</v>
      </c>
      <c r="E18" s="31" t="s">
        <v>49</v>
      </c>
      <c r="F18" s="31" t="s">
        <v>60</v>
      </c>
      <c r="G18" s="32">
        <v>1.0</v>
      </c>
      <c r="H18" s="32">
        <v>3.0</v>
      </c>
    </row>
    <row r="19" ht="15.75" customHeight="1">
      <c r="B19" s="11">
        <v>11.0</v>
      </c>
      <c r="C19" s="28" t="s">
        <v>31</v>
      </c>
      <c r="D19" s="31" t="s">
        <v>48</v>
      </c>
      <c r="E19" s="31" t="s">
        <v>49</v>
      </c>
      <c r="F19" s="31" t="s">
        <v>61</v>
      </c>
      <c r="G19" s="32">
        <v>1.0</v>
      </c>
      <c r="H19" s="32">
        <v>3.0</v>
      </c>
    </row>
    <row r="20" ht="15.75" customHeight="1">
      <c r="B20" s="11">
        <v>12.0</v>
      </c>
      <c r="C20" s="28" t="s">
        <v>31</v>
      </c>
      <c r="D20" s="31" t="s">
        <v>48</v>
      </c>
      <c r="E20" s="31" t="s">
        <v>49</v>
      </c>
      <c r="F20" s="31" t="s">
        <v>64</v>
      </c>
      <c r="G20" s="32">
        <v>1.0</v>
      </c>
      <c r="H20" s="32">
        <v>3.0</v>
      </c>
    </row>
    <row r="21" ht="15.75" customHeight="1">
      <c r="B21" s="11">
        <v>13.0</v>
      </c>
      <c r="C21" s="28" t="s">
        <v>66</v>
      </c>
      <c r="D21" s="31" t="s">
        <v>48</v>
      </c>
      <c r="E21" s="31" t="s">
        <v>67</v>
      </c>
      <c r="F21" s="31" t="s">
        <v>68</v>
      </c>
      <c r="G21" s="32">
        <v>2.0</v>
      </c>
      <c r="H21" s="32">
        <v>5.0</v>
      </c>
    </row>
    <row r="22" ht="15.75" customHeight="1">
      <c r="B22" s="11">
        <v>14.0</v>
      </c>
      <c r="C22" s="28" t="s">
        <v>66</v>
      </c>
      <c r="D22" s="31" t="s">
        <v>48</v>
      </c>
      <c r="E22" s="31" t="s">
        <v>67</v>
      </c>
      <c r="F22" s="31" t="s">
        <v>70</v>
      </c>
      <c r="G22" s="32">
        <v>2.0</v>
      </c>
      <c r="H22" s="32">
        <v>5.0</v>
      </c>
    </row>
    <row r="23" ht="15.75" customHeight="1">
      <c r="B23" s="11">
        <v>15.0</v>
      </c>
      <c r="C23" s="28" t="s">
        <v>66</v>
      </c>
      <c r="D23" s="31" t="s">
        <v>48</v>
      </c>
      <c r="E23" s="31" t="s">
        <v>67</v>
      </c>
      <c r="F23" s="31" t="s">
        <v>72</v>
      </c>
      <c r="G23" s="32">
        <v>2.0</v>
      </c>
      <c r="H23" s="32">
        <v>5.0</v>
      </c>
    </row>
    <row r="24" ht="15.75" customHeight="1">
      <c r="B24" s="11">
        <v>16.0</v>
      </c>
      <c r="C24" s="28" t="s">
        <v>66</v>
      </c>
      <c r="D24" s="31" t="s">
        <v>48</v>
      </c>
      <c r="E24" s="31" t="s">
        <v>67</v>
      </c>
      <c r="F24" s="31" t="s">
        <v>73</v>
      </c>
      <c r="G24" s="32">
        <v>2.0</v>
      </c>
      <c r="H24" s="32">
        <v>5.0</v>
      </c>
    </row>
    <row r="25" ht="15.75" customHeight="1">
      <c r="B25" s="11">
        <v>17.0</v>
      </c>
      <c r="C25" s="28" t="s">
        <v>66</v>
      </c>
      <c r="D25" s="31" t="s">
        <v>48</v>
      </c>
      <c r="E25" s="31" t="s">
        <v>67</v>
      </c>
      <c r="F25" s="31" t="s">
        <v>76</v>
      </c>
      <c r="G25" s="32">
        <v>2.0</v>
      </c>
      <c r="H25" s="32">
        <v>5.0</v>
      </c>
    </row>
    <row r="26" ht="15.75" customHeight="1">
      <c r="B26" s="11">
        <v>18.0</v>
      </c>
      <c r="C26" s="28" t="s">
        <v>66</v>
      </c>
      <c r="D26" s="31" t="s">
        <v>48</v>
      </c>
      <c r="E26" s="31" t="s">
        <v>67</v>
      </c>
      <c r="F26" s="31" t="s">
        <v>81</v>
      </c>
      <c r="G26" s="32">
        <v>2.0</v>
      </c>
      <c r="H26" s="32">
        <v>5.0</v>
      </c>
    </row>
    <row r="27" ht="15.75" customHeight="1">
      <c r="B27" s="11">
        <v>19.0</v>
      </c>
      <c r="C27" s="28" t="s">
        <v>66</v>
      </c>
      <c r="D27" s="31" t="s">
        <v>82</v>
      </c>
      <c r="E27" s="31" t="s">
        <v>83</v>
      </c>
      <c r="F27" s="31" t="s">
        <v>84</v>
      </c>
      <c r="G27" s="32">
        <v>2.0</v>
      </c>
      <c r="H27" s="32">
        <v>7.0</v>
      </c>
    </row>
    <row r="28" ht="15.75" customHeight="1">
      <c r="B28" s="11">
        <v>20.0</v>
      </c>
      <c r="C28" s="28" t="s">
        <v>66</v>
      </c>
      <c r="D28" s="31" t="s">
        <v>82</v>
      </c>
      <c r="E28" s="31" t="s">
        <v>83</v>
      </c>
      <c r="F28" s="31" t="s">
        <v>88</v>
      </c>
      <c r="G28" s="32">
        <v>2.0</v>
      </c>
      <c r="H28" s="32">
        <v>7.0</v>
      </c>
    </row>
    <row r="29" ht="15.75" customHeight="1">
      <c r="B29" s="11">
        <v>21.0</v>
      </c>
      <c r="C29" s="28" t="s">
        <v>66</v>
      </c>
      <c r="D29" s="31" t="s">
        <v>82</v>
      </c>
      <c r="E29" s="31" t="s">
        <v>83</v>
      </c>
      <c r="F29" s="31" t="s">
        <v>90</v>
      </c>
      <c r="G29" s="32">
        <v>2.0</v>
      </c>
      <c r="H29" s="32">
        <v>7.0</v>
      </c>
    </row>
    <row r="30" ht="15.75" customHeight="1">
      <c r="B30" s="11">
        <v>22.0</v>
      </c>
      <c r="C30" s="28" t="s">
        <v>66</v>
      </c>
      <c r="D30" s="31" t="s">
        <v>82</v>
      </c>
      <c r="E30" s="31" t="s">
        <v>83</v>
      </c>
      <c r="F30" s="31" t="s">
        <v>92</v>
      </c>
      <c r="G30" s="32">
        <v>2.0</v>
      </c>
      <c r="H30" s="32">
        <v>7.0</v>
      </c>
    </row>
    <row r="31" ht="15.75" customHeight="1">
      <c r="B31" s="11">
        <v>23.0</v>
      </c>
      <c r="C31" s="28" t="s">
        <v>38</v>
      </c>
      <c r="D31" s="31" t="s">
        <v>94</v>
      </c>
      <c r="E31" s="31" t="s">
        <v>96</v>
      </c>
      <c r="F31" s="31" t="s">
        <v>99</v>
      </c>
      <c r="G31" s="32">
        <v>3.0</v>
      </c>
      <c r="H31" s="32">
        <v>9.0</v>
      </c>
    </row>
    <row r="32" ht="15.75" customHeight="1">
      <c r="B32" s="11">
        <v>24.0</v>
      </c>
      <c r="C32" s="28" t="s">
        <v>38</v>
      </c>
      <c r="D32" s="31" t="s">
        <v>94</v>
      </c>
      <c r="E32" s="31" t="s">
        <v>96</v>
      </c>
      <c r="F32" s="31" t="s">
        <v>103</v>
      </c>
      <c r="G32" s="32">
        <v>3.0</v>
      </c>
      <c r="H32" s="32">
        <v>9.0</v>
      </c>
    </row>
    <row r="33" ht="15.75" customHeight="1">
      <c r="B33" s="11">
        <v>25.0</v>
      </c>
      <c r="C33" s="28" t="s">
        <v>38</v>
      </c>
      <c r="D33" s="31" t="s">
        <v>94</v>
      </c>
      <c r="E33" s="31" t="s">
        <v>96</v>
      </c>
      <c r="F33" s="31" t="s">
        <v>105</v>
      </c>
      <c r="G33" s="32">
        <v>3.0</v>
      </c>
      <c r="H33" s="32">
        <v>9.0</v>
      </c>
    </row>
    <row r="34" ht="15.75" customHeight="1">
      <c r="B34" s="11">
        <v>26.0</v>
      </c>
      <c r="C34" s="28" t="s">
        <v>108</v>
      </c>
      <c r="D34" s="31" t="s">
        <v>109</v>
      </c>
      <c r="E34" s="31" t="s">
        <v>110</v>
      </c>
      <c r="F34" s="31" t="s">
        <v>111</v>
      </c>
      <c r="G34" s="32">
        <v>4.0</v>
      </c>
      <c r="H34" s="32">
        <v>11.0</v>
      </c>
    </row>
    <row r="35" ht="15.75" customHeight="1">
      <c r="B35" s="11">
        <v>27.0</v>
      </c>
      <c r="C35" s="28" t="s">
        <v>108</v>
      </c>
      <c r="D35" s="31" t="s">
        <v>109</v>
      </c>
      <c r="E35" s="31" t="s">
        <v>110</v>
      </c>
      <c r="F35" s="31" t="s">
        <v>113</v>
      </c>
      <c r="G35" s="32">
        <v>4.0</v>
      </c>
      <c r="H35" s="32">
        <v>11.0</v>
      </c>
    </row>
    <row r="36" ht="15.75" customHeight="1">
      <c r="B36" s="11">
        <v>28.0</v>
      </c>
      <c r="C36" s="28" t="s">
        <v>108</v>
      </c>
      <c r="D36" s="31" t="s">
        <v>109</v>
      </c>
      <c r="E36" s="31" t="s">
        <v>110</v>
      </c>
      <c r="F36" s="31" t="s">
        <v>115</v>
      </c>
      <c r="G36" s="32">
        <v>4.0</v>
      </c>
      <c r="H36" s="32">
        <v>11.0</v>
      </c>
    </row>
    <row r="37" ht="15.75" customHeight="1">
      <c r="B37" s="11">
        <v>29.0</v>
      </c>
      <c r="C37" s="28" t="s">
        <v>31</v>
      </c>
      <c r="H37" s="11"/>
    </row>
    <row r="38" ht="15.75" customHeight="1">
      <c r="B38" s="11">
        <v>30.0</v>
      </c>
      <c r="C38" s="1"/>
      <c r="H38" s="11"/>
    </row>
    <row r="39" ht="15.75" customHeight="1">
      <c r="B39" s="11">
        <v>31.0</v>
      </c>
      <c r="C39" s="1"/>
      <c r="H39" s="11"/>
    </row>
    <row r="40" ht="15.75" customHeight="1">
      <c r="B40" s="11">
        <v>32.0</v>
      </c>
      <c r="C40" s="1"/>
      <c r="H40" s="11"/>
    </row>
    <row r="41" ht="15.75" customHeight="1">
      <c r="B41" s="11">
        <v>33.0</v>
      </c>
      <c r="C41" s="1"/>
      <c r="H41" s="11"/>
    </row>
    <row r="42" ht="15.75" customHeight="1">
      <c r="B42" s="11">
        <v>34.0</v>
      </c>
      <c r="C42" s="1"/>
      <c r="H42" s="11"/>
    </row>
    <row r="43" ht="15.75" customHeight="1">
      <c r="B43" s="11">
        <v>35.0</v>
      </c>
      <c r="C43" s="1"/>
      <c r="H43" s="11"/>
    </row>
    <row r="44" ht="15.75" customHeight="1">
      <c r="B44" s="11">
        <v>36.0</v>
      </c>
      <c r="C44" s="1"/>
      <c r="H44" s="11"/>
    </row>
    <row r="45" ht="15.75" customHeight="1">
      <c r="B45" s="11">
        <v>37.0</v>
      </c>
      <c r="C45" s="1"/>
      <c r="H45" s="11"/>
    </row>
    <row r="46" ht="15.75" customHeight="1">
      <c r="B46" s="11">
        <v>38.0</v>
      </c>
      <c r="C46" s="1"/>
      <c r="H46" s="11"/>
    </row>
    <row r="47" ht="15.75" customHeight="1">
      <c r="B47" s="11">
        <v>39.0</v>
      </c>
      <c r="C47" s="1"/>
      <c r="H47" s="11"/>
    </row>
    <row r="48" ht="15.75" customHeight="1">
      <c r="B48" s="11">
        <v>40.0</v>
      </c>
      <c r="C48" s="1"/>
      <c r="H48" s="11"/>
    </row>
    <row r="49" ht="15.75" customHeight="1">
      <c r="B49" s="11">
        <v>41.0</v>
      </c>
      <c r="C49" s="1"/>
      <c r="H49" s="11"/>
    </row>
    <row r="50" ht="15.75" customHeight="1">
      <c r="B50" s="11">
        <v>42.0</v>
      </c>
      <c r="C50" s="1"/>
      <c r="H50" s="11"/>
    </row>
    <row r="51" ht="15.75" customHeight="1">
      <c r="B51" s="11">
        <v>43.0</v>
      </c>
      <c r="C51" s="1"/>
      <c r="H51" s="11"/>
    </row>
    <row r="52" ht="15.75" customHeight="1">
      <c r="B52" s="11">
        <v>44.0</v>
      </c>
      <c r="C52" s="1"/>
      <c r="H52" s="11"/>
    </row>
    <row r="53" ht="15.75" customHeight="1">
      <c r="B53" s="11">
        <v>45.0</v>
      </c>
      <c r="C53" s="1"/>
      <c r="H53" s="11"/>
    </row>
    <row r="54" ht="15.75" customHeight="1">
      <c r="B54" s="11">
        <v>46.0</v>
      </c>
      <c r="C54" s="1"/>
      <c r="H54" s="11"/>
    </row>
    <row r="55" ht="15.75" customHeight="1">
      <c r="B55" s="11">
        <v>47.0</v>
      </c>
      <c r="C55" s="1"/>
      <c r="H55" s="11"/>
    </row>
    <row r="56" ht="15.75" customHeight="1">
      <c r="B56" s="11">
        <v>48.0</v>
      </c>
      <c r="C56" s="1"/>
      <c r="H56" s="11"/>
    </row>
    <row r="57" ht="15.75" customHeight="1">
      <c r="B57" s="11">
        <v>49.0</v>
      </c>
      <c r="C57" s="1"/>
      <c r="H57" s="11"/>
    </row>
    <row r="58" ht="15.75" customHeight="1">
      <c r="B58" s="11">
        <v>50.0</v>
      </c>
      <c r="C58" s="1"/>
      <c r="H58" s="11"/>
    </row>
    <row r="59" ht="15.75" customHeight="1">
      <c r="B59" s="11">
        <v>51.0</v>
      </c>
      <c r="C59" s="1"/>
      <c r="H59" s="11"/>
    </row>
    <row r="60" ht="15.75" customHeight="1">
      <c r="B60" s="11">
        <v>52.0</v>
      </c>
      <c r="C60" s="1"/>
      <c r="H60" s="11"/>
    </row>
    <row r="61" ht="15.75" customHeight="1">
      <c r="B61" s="11">
        <v>53.0</v>
      </c>
      <c r="C61" s="1"/>
      <c r="H61" s="11"/>
    </row>
    <row r="62" ht="15.75" customHeight="1">
      <c r="B62" s="11">
        <v>54.0</v>
      </c>
      <c r="C62" s="1"/>
      <c r="H62" s="11"/>
    </row>
    <row r="63" ht="15.75" customHeight="1">
      <c r="B63" s="11">
        <v>55.0</v>
      </c>
      <c r="C63" s="1"/>
      <c r="H63" s="11"/>
    </row>
    <row r="64" ht="15.75" customHeight="1">
      <c r="B64" s="11">
        <v>56.0</v>
      </c>
      <c r="C64" s="1"/>
      <c r="H64" s="11"/>
    </row>
    <row r="65" ht="15.75" customHeight="1">
      <c r="B65" s="11">
        <v>57.0</v>
      </c>
      <c r="C65" s="1"/>
      <c r="H65" s="11"/>
    </row>
    <row r="66" ht="15.75" customHeight="1">
      <c r="B66" s="11">
        <v>58.0</v>
      </c>
      <c r="C66" s="1"/>
      <c r="H66" s="11"/>
    </row>
    <row r="67" ht="15.75" customHeight="1">
      <c r="B67" s="11">
        <v>59.0</v>
      </c>
      <c r="C67" s="1"/>
      <c r="H67" s="11"/>
    </row>
    <row r="68" ht="15.75" customHeight="1">
      <c r="B68" s="11">
        <v>60.0</v>
      </c>
      <c r="C68" s="1"/>
      <c r="H68" s="11"/>
    </row>
    <row r="69" ht="15.75" customHeight="1">
      <c r="B69" s="11">
        <v>61.0</v>
      </c>
      <c r="C69" s="1"/>
      <c r="H69" s="11"/>
    </row>
    <row r="70" ht="15.75" customHeight="1">
      <c r="B70" s="11">
        <v>62.0</v>
      </c>
      <c r="C70" s="1"/>
      <c r="H70" s="11"/>
    </row>
    <row r="71" ht="15.75" customHeight="1">
      <c r="B71" s="11">
        <v>63.0</v>
      </c>
      <c r="C71" s="1"/>
      <c r="H71" s="11"/>
    </row>
    <row r="72" ht="15.75" customHeight="1">
      <c r="B72" s="11">
        <v>64.0</v>
      </c>
      <c r="C72" s="1"/>
      <c r="H72" s="11"/>
    </row>
    <row r="73" ht="15.75" customHeight="1">
      <c r="B73" s="11">
        <v>65.0</v>
      </c>
      <c r="C73" s="1"/>
      <c r="H73" s="11"/>
    </row>
    <row r="74" ht="15.75" customHeight="1">
      <c r="B74" s="11">
        <v>66.0</v>
      </c>
      <c r="C74" s="1"/>
      <c r="H74" s="11"/>
    </row>
    <row r="75" ht="15.75" customHeight="1">
      <c r="B75" s="11">
        <v>67.0</v>
      </c>
      <c r="C75" s="1"/>
      <c r="H75" s="11"/>
    </row>
    <row r="76" ht="15.75" customHeight="1">
      <c r="B76" s="11">
        <v>68.0</v>
      </c>
      <c r="C76" s="1"/>
      <c r="H76" s="11"/>
    </row>
    <row r="77" ht="15.75" customHeight="1">
      <c r="B77" s="11">
        <v>69.0</v>
      </c>
      <c r="C77" s="1"/>
      <c r="H77" s="11"/>
    </row>
    <row r="78" ht="15.75" customHeight="1">
      <c r="B78" s="11">
        <v>70.0</v>
      </c>
      <c r="C78" s="1"/>
      <c r="H78" s="11"/>
    </row>
    <row r="79" ht="15.75" customHeight="1">
      <c r="B79" s="11">
        <v>71.0</v>
      </c>
      <c r="C79" s="1"/>
      <c r="H79" s="11"/>
    </row>
    <row r="80" ht="15.75" customHeight="1">
      <c r="B80" s="11">
        <v>72.0</v>
      </c>
      <c r="C80" s="1"/>
      <c r="H80" s="11"/>
    </row>
    <row r="81" ht="15.75" customHeight="1">
      <c r="B81" s="11">
        <v>73.0</v>
      </c>
      <c r="C81" s="1"/>
      <c r="H81" s="11"/>
    </row>
    <row r="82" ht="15.75" customHeight="1">
      <c r="B82" s="11">
        <v>74.0</v>
      </c>
      <c r="C82" s="1"/>
      <c r="H82" s="11"/>
    </row>
    <row r="83" ht="15.75" customHeight="1">
      <c r="B83" s="11">
        <v>75.0</v>
      </c>
      <c r="C83" s="1"/>
      <c r="H83" s="11"/>
    </row>
    <row r="84" ht="15.75" customHeight="1">
      <c r="B84" s="11">
        <v>76.0</v>
      </c>
      <c r="C84" s="1"/>
      <c r="H84" s="11"/>
    </row>
    <row r="85" ht="15.75" customHeight="1">
      <c r="B85" s="11">
        <v>77.0</v>
      </c>
      <c r="C85" s="1"/>
      <c r="H85" s="11"/>
    </row>
    <row r="86" ht="15.75" customHeight="1">
      <c r="B86" s="11">
        <v>78.0</v>
      </c>
      <c r="C86" s="1"/>
      <c r="H86" s="11"/>
    </row>
    <row r="87" ht="15.75" customHeight="1">
      <c r="B87" s="11">
        <v>79.0</v>
      </c>
      <c r="C87" s="1"/>
      <c r="H87" s="11"/>
    </row>
    <row r="88" ht="15.75" customHeight="1">
      <c r="B88" s="11">
        <v>80.0</v>
      </c>
      <c r="C88" s="1"/>
      <c r="H88" s="11"/>
    </row>
    <row r="89" ht="15.75" customHeight="1">
      <c r="B89" s="11">
        <v>81.0</v>
      </c>
      <c r="C89" s="1"/>
      <c r="H89" s="11"/>
    </row>
    <row r="90" ht="15.75" customHeight="1">
      <c r="B90" s="11">
        <v>82.0</v>
      </c>
      <c r="C90" s="1"/>
      <c r="H90" s="11"/>
    </row>
    <row r="91" ht="15.75" customHeight="1">
      <c r="B91" s="11">
        <v>83.0</v>
      </c>
      <c r="C91" s="1"/>
      <c r="H91" s="11"/>
    </row>
    <row r="92" ht="15.75" customHeight="1">
      <c r="B92" s="11">
        <v>84.0</v>
      </c>
      <c r="C92" s="1"/>
      <c r="H92" s="11"/>
    </row>
    <row r="93" ht="15.75" customHeight="1">
      <c r="B93" s="11">
        <v>85.0</v>
      </c>
      <c r="C93" s="1"/>
      <c r="H93" s="11"/>
    </row>
    <row r="94" ht="15.75" customHeight="1">
      <c r="B94" s="11">
        <v>86.0</v>
      </c>
      <c r="C94" s="1"/>
      <c r="H94" s="11"/>
    </row>
    <row r="95" ht="15.75" customHeight="1">
      <c r="B95" s="11">
        <v>87.0</v>
      </c>
      <c r="C95" s="1"/>
      <c r="H95" s="11"/>
    </row>
    <row r="96" ht="15.75" customHeight="1">
      <c r="B96" s="11">
        <v>88.0</v>
      </c>
      <c r="C96" s="1"/>
      <c r="H96" s="11"/>
    </row>
    <row r="97" ht="15.75" customHeight="1">
      <c r="B97" s="11">
        <v>89.0</v>
      </c>
      <c r="C97" s="1"/>
      <c r="H97" s="11"/>
    </row>
    <row r="98" ht="15.75" customHeight="1">
      <c r="B98" s="11">
        <v>90.0</v>
      </c>
      <c r="C98" s="1"/>
      <c r="H98" s="11"/>
    </row>
    <row r="99" ht="15.75" customHeight="1">
      <c r="B99" s="11">
        <v>91.0</v>
      </c>
      <c r="C99" s="1"/>
      <c r="H99" s="11"/>
    </row>
    <row r="100" ht="15.75" customHeight="1">
      <c r="B100" s="11">
        <v>92.0</v>
      </c>
      <c r="C100" s="1"/>
      <c r="H100" s="11"/>
    </row>
    <row r="101" ht="15.75" customHeight="1">
      <c r="B101" s="11">
        <v>93.0</v>
      </c>
      <c r="C101" s="1"/>
      <c r="H101" s="11"/>
    </row>
    <row r="102" ht="15.75" customHeight="1">
      <c r="B102" s="11">
        <v>94.0</v>
      </c>
      <c r="C102" s="1"/>
      <c r="H102" s="11"/>
    </row>
    <row r="103" ht="15.75" customHeight="1">
      <c r="B103" s="11">
        <v>95.0</v>
      </c>
      <c r="C103" s="1"/>
    </row>
    <row r="104" ht="15.75" customHeight="1">
      <c r="B104" s="11">
        <v>96.0</v>
      </c>
      <c r="C104" s="1"/>
    </row>
    <row r="105" ht="15.75" customHeight="1">
      <c r="B105" s="11">
        <v>97.0</v>
      </c>
      <c r="C105" s="1"/>
    </row>
    <row r="106" ht="15.75" customHeight="1">
      <c r="B106" s="11">
        <v>98.0</v>
      </c>
      <c r="C106" s="1"/>
    </row>
    <row r="107" ht="15.75" customHeight="1">
      <c r="B107" s="11">
        <v>99.0</v>
      </c>
      <c r="C107" s="1"/>
    </row>
    <row r="108" ht="15.75" customHeight="1">
      <c r="B108" s="11">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4" t="s">
        <v>0</v>
      </c>
    </row>
    <row r="3" ht="15.75" customHeight="1"/>
    <row r="4" ht="15.75" customHeight="1">
      <c r="B4" s="8" t="s">
        <v>3</v>
      </c>
      <c r="C4" s="15" t="str">
        <f>'Diseño'!C4</f>
        <v>720 - Modelación y Simulación 2</v>
      </c>
      <c r="D4" s="18"/>
      <c r="E4" s="18"/>
      <c r="F4" s="18"/>
      <c r="G4" s="21"/>
    </row>
    <row r="5" ht="15.75" customHeight="1">
      <c r="B5" s="24" t="s">
        <v>18</v>
      </c>
      <c r="C5" s="15">
        <v>1.0</v>
      </c>
      <c r="D5" s="18"/>
      <c r="E5" s="18"/>
      <c r="F5" s="18"/>
      <c r="G5" s="21"/>
    </row>
    <row r="6" ht="15.75" customHeight="1">
      <c r="B6" s="24" t="s">
        <v>26</v>
      </c>
      <c r="C6" s="15">
        <f>B15+B22+B29+B41+B47+C48</f>
        <v>125</v>
      </c>
      <c r="D6" s="18"/>
      <c r="E6" s="18"/>
      <c r="F6" s="18"/>
      <c r="G6" s="21"/>
    </row>
    <row r="7" ht="15.75" customHeight="1"/>
    <row r="8" ht="15.75" customHeight="1">
      <c r="K8" s="35" t="s">
        <v>39</v>
      </c>
    </row>
    <row r="9" ht="15.75" customHeight="1">
      <c r="A9" s="36" t="s">
        <v>40</v>
      </c>
      <c r="G9" s="37" t="s">
        <v>43</v>
      </c>
      <c r="H9" s="40">
        <f>B15</f>
        <v>15</v>
      </c>
    </row>
    <row r="10" ht="15.75" customHeight="1">
      <c r="G10" s="43" t="s">
        <v>50</v>
      </c>
    </row>
    <row r="11" ht="24.75" customHeight="1">
      <c r="A11" s="45" t="s">
        <v>53</v>
      </c>
      <c r="B11" s="47" t="s">
        <v>55</v>
      </c>
      <c r="C11" s="18"/>
      <c r="D11" s="18"/>
      <c r="E11" s="18"/>
      <c r="F11" s="18"/>
      <c r="G11" s="18"/>
      <c r="H11" s="21"/>
    </row>
    <row r="12">
      <c r="A12" s="45" t="s">
        <v>58</v>
      </c>
      <c r="B12" s="47" t="s">
        <v>59</v>
      </c>
      <c r="C12" s="18"/>
      <c r="D12" s="18"/>
      <c r="E12" s="18"/>
      <c r="F12" s="18"/>
      <c r="G12" s="18"/>
      <c r="H12" s="21"/>
    </row>
    <row r="13">
      <c r="A13" s="49" t="s">
        <v>62</v>
      </c>
      <c r="B13" s="50" t="s">
        <v>63</v>
      </c>
      <c r="C13" s="18"/>
      <c r="D13" s="18"/>
      <c r="E13" s="18"/>
      <c r="F13" s="18"/>
      <c r="G13" s="18"/>
      <c r="H13" s="21"/>
    </row>
    <row r="14">
      <c r="A14" s="49" t="s">
        <v>69</v>
      </c>
      <c r="B14" s="51" t="s">
        <v>71</v>
      </c>
      <c r="C14" s="18"/>
      <c r="D14" s="18"/>
      <c r="E14" s="18"/>
      <c r="F14" s="18"/>
      <c r="G14" s="18"/>
      <c r="H14" s="21"/>
    </row>
    <row r="15" ht="15.75" customHeight="1">
      <c r="A15" s="53" t="s">
        <v>75</v>
      </c>
      <c r="B15" s="51">
        <v>15.0</v>
      </c>
      <c r="C15" s="18"/>
      <c r="D15" s="18"/>
      <c r="E15" s="18"/>
      <c r="F15" s="18"/>
      <c r="G15" s="18"/>
      <c r="H15" s="21"/>
    </row>
    <row r="16" ht="15.75" customHeight="1"/>
    <row r="17" ht="15.75" customHeight="1"/>
    <row r="18" ht="15.75" customHeight="1">
      <c r="A18" s="58" t="s">
        <v>86</v>
      </c>
      <c r="G18" s="37" t="s">
        <v>43</v>
      </c>
      <c r="H18" s="40">
        <f>B22</f>
        <v>45</v>
      </c>
    </row>
    <row r="19" ht="15.75" customHeight="1">
      <c r="G19" s="43" t="s">
        <v>93</v>
      </c>
      <c r="K19" s="35" t="s">
        <v>97</v>
      </c>
    </row>
    <row r="20">
      <c r="A20" s="45" t="s">
        <v>100</v>
      </c>
      <c r="B20" s="47" t="s">
        <v>101</v>
      </c>
      <c r="C20" s="18"/>
      <c r="D20" s="18"/>
      <c r="E20" s="18"/>
      <c r="F20" s="18"/>
      <c r="G20" s="18"/>
      <c r="H20" s="21"/>
    </row>
    <row r="21">
      <c r="A21" s="45" t="s">
        <v>107</v>
      </c>
      <c r="B21" s="33"/>
      <c r="C21" s="18"/>
      <c r="D21" s="18"/>
      <c r="E21" s="18"/>
      <c r="F21" s="18"/>
      <c r="G21" s="18"/>
      <c r="H21" s="21"/>
    </row>
    <row r="22">
      <c r="A22" s="53" t="s">
        <v>75</v>
      </c>
      <c r="B22" s="51">
        <v>45.0</v>
      </c>
      <c r="C22" s="18"/>
      <c r="D22" s="18"/>
      <c r="E22" s="18"/>
      <c r="F22" s="18"/>
      <c r="G22" s="18"/>
      <c r="H22" s="21"/>
    </row>
    <row r="23" ht="15.75" customHeight="1"/>
    <row r="24" ht="15.75" customHeight="1"/>
    <row r="25" ht="15.75" customHeight="1">
      <c r="A25" s="58" t="s">
        <v>116</v>
      </c>
      <c r="G25" s="76" t="s">
        <v>43</v>
      </c>
      <c r="H25" s="40">
        <f>B29</f>
        <v>20</v>
      </c>
    </row>
    <row r="26" ht="15.75" customHeight="1">
      <c r="G26" s="43" t="s">
        <v>117</v>
      </c>
      <c r="H26" s="43"/>
      <c r="I26" s="43"/>
      <c r="J26" s="43"/>
    </row>
    <row r="27" ht="39.75" customHeight="1">
      <c r="A27" s="45" t="s">
        <v>118</v>
      </c>
      <c r="B27" s="47" t="s">
        <v>119</v>
      </c>
      <c r="C27" s="18"/>
      <c r="D27" s="18"/>
      <c r="E27" s="18"/>
      <c r="F27" s="18"/>
      <c r="G27" s="18"/>
      <c r="H27" s="21"/>
      <c r="K27" s="35" t="s">
        <v>125</v>
      </c>
    </row>
    <row r="28" ht="69.75" customHeight="1">
      <c r="A28" s="45" t="s">
        <v>126</v>
      </c>
      <c r="B28" s="47" t="s">
        <v>127</v>
      </c>
      <c r="C28" s="18"/>
      <c r="D28" s="18"/>
      <c r="E28" s="18"/>
      <c r="F28" s="18"/>
      <c r="G28" s="18"/>
      <c r="H28" s="21"/>
    </row>
    <row r="29" ht="15.75" customHeight="1">
      <c r="A29" s="53" t="s">
        <v>75</v>
      </c>
      <c r="B29" s="51">
        <v>20.0</v>
      </c>
      <c r="C29" s="18"/>
      <c r="D29" s="18"/>
      <c r="E29" s="18"/>
      <c r="F29" s="18"/>
      <c r="G29" s="18"/>
      <c r="H29" s="21"/>
    </row>
    <row r="30" ht="15.75" customHeight="1"/>
    <row r="31" ht="15.75" customHeight="1"/>
    <row r="32" ht="15.75" customHeight="1">
      <c r="A32" s="58" t="s">
        <v>128</v>
      </c>
      <c r="G32" s="76" t="s">
        <v>43</v>
      </c>
      <c r="H32" s="40">
        <f>B36</f>
        <v>5</v>
      </c>
    </row>
    <row r="33" ht="15.75" customHeight="1">
      <c r="A33" s="12" t="s">
        <v>131</v>
      </c>
      <c r="G33" s="12" t="s">
        <v>134</v>
      </c>
    </row>
    <row r="34">
      <c r="A34" s="45" t="s">
        <v>135</v>
      </c>
      <c r="B34" s="33"/>
      <c r="C34" s="18"/>
      <c r="D34" s="18"/>
      <c r="E34" s="18"/>
      <c r="F34" s="18"/>
      <c r="G34" s="18"/>
      <c r="H34" s="21"/>
      <c r="K34" s="35" t="s">
        <v>137</v>
      </c>
    </row>
    <row r="35">
      <c r="A35" s="45" t="s">
        <v>138</v>
      </c>
      <c r="B35" s="47" t="s">
        <v>139</v>
      </c>
      <c r="C35" s="18"/>
      <c r="D35" s="18"/>
      <c r="E35" s="18"/>
      <c r="F35" s="18"/>
      <c r="G35" s="18"/>
      <c r="H35" s="21"/>
    </row>
    <row r="36" ht="15.75" customHeight="1">
      <c r="A36" s="53" t="s">
        <v>75</v>
      </c>
      <c r="B36" s="51">
        <v>5.0</v>
      </c>
      <c r="C36" s="18"/>
      <c r="D36" s="18"/>
      <c r="E36" s="18"/>
      <c r="F36" s="18"/>
      <c r="G36" s="18"/>
      <c r="H36" s="21"/>
    </row>
    <row r="37" ht="15.75" customHeight="1"/>
    <row r="38" ht="15.75" customHeight="1"/>
    <row r="39" ht="15.75" customHeight="1">
      <c r="A39" s="58" t="s">
        <v>140</v>
      </c>
      <c r="G39" s="76" t="s">
        <v>43</v>
      </c>
      <c r="H39" s="40">
        <f>B41</f>
        <v>30</v>
      </c>
    </row>
    <row r="40" ht="15.75" customHeight="1">
      <c r="G40" s="43" t="s">
        <v>141</v>
      </c>
    </row>
    <row r="41" ht="15.75" customHeight="1">
      <c r="A41" s="53" t="s">
        <v>75</v>
      </c>
      <c r="B41" s="51">
        <v>30.0</v>
      </c>
      <c r="C41" s="18"/>
      <c r="D41" s="18"/>
      <c r="E41" s="18"/>
      <c r="F41" s="18"/>
      <c r="G41" s="18"/>
      <c r="H41" s="21"/>
    </row>
    <row r="42" ht="15.75" customHeight="1"/>
    <row r="43" ht="15.75" customHeight="1"/>
    <row r="44" ht="15.75" customHeight="1">
      <c r="A44" s="58" t="s">
        <v>144</v>
      </c>
      <c r="G44" s="76" t="s">
        <v>43</v>
      </c>
      <c r="H44" s="40" t="str">
        <f>B46</f>
        <v>Preguntas sobre procesos, inventarios, costos y su aplicación en SIMIO</v>
      </c>
    </row>
    <row r="45" ht="15.75" customHeight="1">
      <c r="G45" s="43" t="s">
        <v>50</v>
      </c>
    </row>
    <row r="46">
      <c r="A46" s="45" t="s">
        <v>145</v>
      </c>
      <c r="B46" s="47" t="s">
        <v>146</v>
      </c>
      <c r="C46" s="18"/>
      <c r="D46" s="18"/>
      <c r="E46" s="18"/>
      <c r="F46" s="18"/>
      <c r="G46" s="18"/>
      <c r="H46" s="21"/>
    </row>
    <row r="47" ht="15.75" customHeight="1">
      <c r="A47" s="53" t="s">
        <v>75</v>
      </c>
      <c r="B47" s="51">
        <v>15.0</v>
      </c>
      <c r="C47" s="18"/>
      <c r="D47" s="18"/>
      <c r="E47" s="18"/>
      <c r="F47" s="18"/>
      <c r="G47" s="18"/>
      <c r="H47" s="21"/>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2.0</v>
      </c>
      <c r="D5" s="18"/>
      <c r="E5" s="18"/>
      <c r="F5" s="18"/>
      <c r="G5" s="21"/>
    </row>
    <row r="6" ht="15.75" customHeight="1">
      <c r="B6" s="88" t="s">
        <v>26</v>
      </c>
      <c r="C6" s="15">
        <f>H10+H21+H44+H68</f>
        <v>110</v>
      </c>
      <c r="D6" s="18"/>
      <c r="E6" s="18"/>
      <c r="F6" s="18"/>
      <c r="G6" s="21"/>
      <c r="I6" s="11"/>
    </row>
    <row r="7" ht="15.75" customHeight="1">
      <c r="B7" s="88" t="s">
        <v>166</v>
      </c>
      <c r="C7" s="15">
        <f>B49+B60</f>
        <v>0</v>
      </c>
      <c r="D7" s="18"/>
      <c r="E7" s="18"/>
      <c r="F7" s="18"/>
      <c r="G7" s="21"/>
    </row>
    <row r="8">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173</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176</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181</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31</v>
      </c>
      <c r="C23" s="18"/>
      <c r="D23" s="18"/>
      <c r="E23" s="18"/>
      <c r="F23" s="18"/>
      <c r="G23" s="18"/>
      <c r="H23" s="21"/>
    </row>
    <row r="24" ht="15.75" customHeight="1">
      <c r="A24" s="49" t="s">
        <v>183</v>
      </c>
      <c r="B24" s="51" t="s">
        <v>31</v>
      </c>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IFERROR(__xludf.DUMMYFUNCTION("FILTER('Diseño'!D:D,'Diseño'!H:H=$C$5)"),"Modelado")</f>
        <v>Modelado</v>
      </c>
      <c r="C28" s="21"/>
      <c r="D28" s="15" t="str">
        <f>IFERROR(__xludf.DUMMYFUNCTION("FILTER('Diseño'!E:E,'Diseño'!H:H=$C$5)"),"Introduccion a la Modelación y Simulación")</f>
        <v>Introduccion a la Modelación y Simulación</v>
      </c>
      <c r="E28" s="21"/>
      <c r="F28" s="15" t="str">
        <f>IFERROR(__xludf.DUMMYFUNCTION("FILTER('Diseño'!F:F,'Diseño'!H:H=$C$5)"),"¿Qué es la modelación y simulación?")</f>
        <v>¿Qué es la modelación y simulación?</v>
      </c>
      <c r="G28" s="18"/>
      <c r="H28" s="21"/>
    </row>
    <row r="29" ht="15.75" customHeight="1">
      <c r="A29" s="24">
        <v>2.0</v>
      </c>
      <c r="B29" s="15"/>
      <c r="C29" s="21"/>
      <c r="D29" s="15"/>
      <c r="E29" s="21"/>
      <c r="F29" s="15"/>
      <c r="G29" s="18"/>
      <c r="H29" s="21"/>
    </row>
    <row r="30" ht="15.75" customHeight="1">
      <c r="A30" s="24">
        <v>3.0</v>
      </c>
      <c r="B30" s="15"/>
      <c r="C30" s="21"/>
      <c r="D30" s="15"/>
      <c r="E30" s="21"/>
      <c r="F30" s="15"/>
      <c r="G30" s="18"/>
      <c r="H30" s="21"/>
    </row>
    <row r="31" ht="15.75" customHeight="1">
      <c r="A31" s="24">
        <v>4.0</v>
      </c>
      <c r="B31" s="15"/>
      <c r="C31" s="21"/>
      <c r="D31" s="15"/>
      <c r="E31" s="21"/>
      <c r="F31" s="15"/>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15.0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10.0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35</v>
      </c>
    </row>
    <row r="45" ht="15.75" customHeight="1">
      <c r="G45" s="43" t="s">
        <v>204</v>
      </c>
    </row>
    <row r="46" ht="15.75" customHeight="1">
      <c r="A46" s="43" t="s">
        <v>205</v>
      </c>
    </row>
    <row r="47">
      <c r="A47" s="49" t="s">
        <v>206</v>
      </c>
      <c r="B47" s="51" t="s">
        <v>31</v>
      </c>
      <c r="C47" s="18"/>
      <c r="D47" s="18"/>
      <c r="E47" s="18"/>
      <c r="F47" s="18"/>
      <c r="G47" s="18"/>
      <c r="H47" s="21"/>
    </row>
    <row r="48" ht="15.75" customHeight="1">
      <c r="A48" s="49" t="s">
        <v>12</v>
      </c>
      <c r="B48" s="51" t="s">
        <v>207</v>
      </c>
      <c r="C48" s="18"/>
      <c r="D48" s="18"/>
      <c r="E48" s="18"/>
      <c r="F48" s="18"/>
      <c r="G48" s="18"/>
      <c r="H48" s="21"/>
    </row>
    <row r="49" ht="15.75" customHeight="1">
      <c r="A49" s="49" t="s">
        <v>166</v>
      </c>
      <c r="B49" s="100">
        <v>0.0</v>
      </c>
      <c r="C49" s="18"/>
      <c r="D49" s="18"/>
      <c r="E49" s="18"/>
      <c r="F49" s="18"/>
      <c r="G49" s="18"/>
      <c r="H49" s="21"/>
    </row>
    <row r="50" ht="15.75" customHeight="1">
      <c r="A50" s="49" t="s">
        <v>43</v>
      </c>
      <c r="B50" s="51">
        <v>35.0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210</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93" t="s">
        <v>217</v>
      </c>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10</v>
      </c>
    </row>
    <row r="69" ht="15.75" customHeight="1">
      <c r="G69" s="43" t="s">
        <v>216</v>
      </c>
    </row>
    <row r="70" ht="15.75" customHeight="1">
      <c r="A70" s="49" t="s">
        <v>43</v>
      </c>
      <c r="B70" s="104">
        <v>10.0</v>
      </c>
      <c r="C70" s="18"/>
      <c r="D70" s="18"/>
      <c r="E70" s="18"/>
      <c r="F70" s="18"/>
      <c r="G70" s="18"/>
      <c r="H70" s="21"/>
    </row>
    <row r="71" ht="15.75" customHeight="1">
      <c r="A71" s="98" t="s">
        <v>218</v>
      </c>
      <c r="B71" s="18"/>
      <c r="C71" s="18"/>
      <c r="D71" s="18"/>
      <c r="E71" s="18"/>
      <c r="F71" s="18"/>
      <c r="G71" s="18"/>
      <c r="H71" s="21"/>
    </row>
    <row r="72" ht="15.75" customHeight="1">
      <c r="A72" s="93" t="s">
        <v>222</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3.0</v>
      </c>
      <c r="D5" s="18"/>
      <c r="E5" s="18"/>
      <c r="F5" s="18"/>
      <c r="G5" s="21"/>
    </row>
    <row r="6" ht="15.75" customHeight="1">
      <c r="B6" s="88" t="s">
        <v>26</v>
      </c>
      <c r="C6" s="15">
        <f>H10+H21+H44+H68</f>
        <v>110</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172</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177</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177</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55</v>
      </c>
      <c r="I21" s="11"/>
    </row>
    <row r="22" ht="15.75" customHeight="1">
      <c r="G22" s="43" t="s">
        <v>182</v>
      </c>
    </row>
    <row r="23" ht="15.75" customHeight="1">
      <c r="A23" s="49" t="s">
        <v>183</v>
      </c>
      <c r="B23" s="51" t="s">
        <v>184</v>
      </c>
      <c r="C23" s="18"/>
      <c r="D23" s="18"/>
      <c r="E23" s="18"/>
      <c r="F23" s="18"/>
      <c r="G23" s="18"/>
      <c r="H23" s="21"/>
    </row>
    <row r="24" ht="15.75" customHeight="1">
      <c r="A24" s="49" t="s">
        <v>183</v>
      </c>
      <c r="B24" s="15"/>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IFERROR(__xludf.DUMMYFUNCTION("FILTER('Diseño'!D:D,'Diseño'!H:H=$C$5)"),"Librería Estándar")</f>
        <v>Librería Estándar</v>
      </c>
      <c r="C28" s="21"/>
      <c r="D28" s="15" t="str">
        <f>IFERROR(__xludf.DUMMYFUNCTION("FILTER('Diseño'!E:E,'Diseño'!H:H=$C$5)"),"Distribuciones de probabilidad")</f>
        <v>Distribuciones de probabilidad</v>
      </c>
      <c r="E28" s="21"/>
      <c r="F28" s="15" t="str">
        <f>IFERROR(__xludf.DUMMYFUNCTION("FILTER('Diseño'!F:F,'Diseño'!H:H=$C$5)"),"¿Qué son las distribuciones de probabilidad?")</f>
        <v>¿Qué son las distribuciones de probabilidad?</v>
      </c>
      <c r="G28" s="18"/>
      <c r="H28" s="21"/>
    </row>
    <row r="29" ht="15.75" customHeight="1">
      <c r="A29" s="24">
        <v>2.0</v>
      </c>
      <c r="B29" s="15" t="str">
        <f>IFERROR(__xludf.DUMMYFUNCTION("""COMPUTED_VALUE"""),"Librería Estándar")</f>
        <v>Librería Estándar</v>
      </c>
      <c r="C29" s="21"/>
      <c r="D29" s="15" t="str">
        <f>IFERROR(__xludf.DUMMYFUNCTION("""COMPUTED_VALUE"""),"Distribuciones de probabilidad")</f>
        <v>Distribuciones de probabilidad</v>
      </c>
      <c r="E29" s="21"/>
      <c r="F29" s="15" t="str">
        <f>IFERROR(__xludf.DUMMYFUNCTION("""COMPUTED_VALUE"""),"Para qué nos sirven")</f>
        <v>Para qué nos sirven</v>
      </c>
      <c r="G29" s="18"/>
      <c r="H29" s="21"/>
    </row>
    <row r="30" ht="15.75" customHeight="1">
      <c r="A30" s="24">
        <v>3.0</v>
      </c>
      <c r="B30" s="15" t="str">
        <f>IFERROR(__xludf.DUMMYFUNCTION("""COMPUTED_VALUE"""),"Librería Estándar")</f>
        <v>Librería Estándar</v>
      </c>
      <c r="C30" s="21"/>
      <c r="D30" s="15" t="str">
        <f>IFERROR(__xludf.DUMMYFUNCTION("""COMPUTED_VALUE"""),"Distribuciones de probabilidad")</f>
        <v>Distribuciones de probabilidad</v>
      </c>
      <c r="E30" s="21"/>
      <c r="F30" s="15" t="str">
        <f>IFERROR(__xludf.DUMMYFUNCTION("""COMPUTED_VALUE"""),"Aplicaciones de la distribuciones")</f>
        <v>Aplicaciones de la distribuciones</v>
      </c>
      <c r="G30" s="18"/>
      <c r="H30" s="21"/>
    </row>
    <row r="31" ht="15.75" customHeight="1">
      <c r="A31" s="24">
        <v>4.0</v>
      </c>
      <c r="B31" s="15" t="str">
        <f>IFERROR(__xludf.DUMMYFUNCTION("""COMPUTED_VALUE"""),"Librería Estándar")</f>
        <v>Librería Estándar</v>
      </c>
      <c r="C31" s="21"/>
      <c r="D31" s="15" t="str">
        <f>IFERROR(__xludf.DUMMYFUNCTION("""COMPUTED_VALUE"""),"Distribuciones de probabilidad")</f>
        <v>Distribuciones de probabilidad</v>
      </c>
      <c r="E31" s="21"/>
      <c r="F31" s="15" t="str">
        <f>IFERROR(__xludf.DUMMYFUNCTION("""COMPUTED_VALUE"""),"Relación de las distribuciones con Simio")</f>
        <v>Relación de las distribuciones con Simio</v>
      </c>
      <c r="G31" s="18"/>
      <c r="H31" s="21"/>
    </row>
    <row r="32" ht="15.75" customHeight="1">
      <c r="A32" s="24">
        <v>5.0</v>
      </c>
      <c r="B32" s="15" t="str">
        <f>IFERROR(__xludf.DUMMYFUNCTION("""COMPUTED_VALUE"""),"Librería Estándar")</f>
        <v>Librería Estándar</v>
      </c>
      <c r="C32" s="21"/>
      <c r="D32" s="15" t="str">
        <f>IFERROR(__xludf.DUMMYFUNCTION("""COMPUTED_VALUE"""),"Distribuciones de probabilidad")</f>
        <v>Distribuciones de probabilidad</v>
      </c>
      <c r="E32" s="21"/>
      <c r="F32" s="15" t="str">
        <f>IFERROR(__xludf.DUMMYFUNCTION("""COMPUTED_VALUE"""),"Análisis de datos")</f>
        <v>Análisis de datos</v>
      </c>
      <c r="G32" s="18"/>
      <c r="H32" s="21"/>
    </row>
    <row r="33" ht="15.75" customHeight="1">
      <c r="A33" s="24">
        <v>6.0</v>
      </c>
      <c r="B33" s="15" t="str">
        <f>IFERROR(__xludf.DUMMYFUNCTION("""COMPUTED_VALUE"""),"Librería Estándar")</f>
        <v>Librería Estándar</v>
      </c>
      <c r="C33" s="21"/>
      <c r="D33" s="15" t="str">
        <f>IFERROR(__xludf.DUMMYFUNCTION("""COMPUTED_VALUE"""),"Distribuciones de probabilidad")</f>
        <v>Distribuciones de probabilidad</v>
      </c>
      <c r="E33" s="21"/>
      <c r="F33" s="15" t="str">
        <f>IFERROR(__xludf.DUMMYFUNCTION("""COMPUTED_VALUE"""),"Como ajustar una serie de datos a una distribución")</f>
        <v>Como ajustar una serie de datos a una distribución</v>
      </c>
      <c r="G33" s="18"/>
      <c r="H33" s="21"/>
    </row>
    <row r="34" ht="15.75" customHeight="1">
      <c r="A34" s="24">
        <v>7.0</v>
      </c>
      <c r="B34" s="15" t="str">
        <f>IFERROR(__xludf.DUMMYFUNCTION("""COMPUTED_VALUE"""),"Librería Estándar")</f>
        <v>Librería Estándar</v>
      </c>
      <c r="C34" s="21"/>
      <c r="D34" s="15" t="str">
        <f>IFERROR(__xludf.DUMMYFUNCTION("""COMPUTED_VALUE"""),"Distribuciones de probabilidad")</f>
        <v>Distribuciones de probabilidad</v>
      </c>
      <c r="E34" s="21"/>
      <c r="F34" s="15" t="str">
        <f>IFERROR(__xludf.DUMMYFUNCTION("""COMPUTED_VALUE"""),"Ejemplo de ajustar una serie de datos a una distribución")</f>
        <v>Ejemplo de ajustar una serie de datos a una distribución</v>
      </c>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10.0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10.0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40</v>
      </c>
    </row>
    <row r="45" ht="15.75" customHeight="1">
      <c r="G45" s="43" t="s">
        <v>204</v>
      </c>
    </row>
    <row r="46" ht="15.75" customHeight="1">
      <c r="A46" s="43" t="s">
        <v>205</v>
      </c>
    </row>
    <row r="47">
      <c r="A47" s="49" t="s">
        <v>206</v>
      </c>
      <c r="B47" s="51" t="s">
        <v>108</v>
      </c>
      <c r="C47" s="18"/>
      <c r="D47" s="18"/>
      <c r="E47" s="18"/>
      <c r="F47" s="18"/>
      <c r="G47" s="18"/>
      <c r="H47" s="21"/>
    </row>
    <row r="48" ht="15.75" customHeight="1">
      <c r="A48" s="49" t="s">
        <v>12</v>
      </c>
      <c r="B48" s="15" t="s">
        <v>211</v>
      </c>
      <c r="C48" s="18"/>
      <c r="D48" s="18"/>
      <c r="E48" s="18"/>
      <c r="F48" s="18"/>
      <c r="G48" s="18"/>
      <c r="H48" s="21"/>
    </row>
    <row r="49" ht="15.75" customHeight="1">
      <c r="A49" s="49" t="s">
        <v>166</v>
      </c>
      <c r="B49" s="100">
        <v>0.0</v>
      </c>
      <c r="C49" s="18"/>
      <c r="D49" s="18"/>
      <c r="E49" s="18"/>
      <c r="F49" s="18"/>
      <c r="G49" s="18"/>
      <c r="H49" s="21"/>
    </row>
    <row r="50" ht="15.75" customHeight="1">
      <c r="A50" s="49" t="s">
        <v>43</v>
      </c>
      <c r="B50" s="51">
        <v>40.0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213</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10</v>
      </c>
    </row>
    <row r="69" ht="15.75" customHeight="1">
      <c r="G69" s="43" t="s">
        <v>216</v>
      </c>
    </row>
    <row r="70" ht="15.75" customHeight="1">
      <c r="A70" s="49" t="s">
        <v>43</v>
      </c>
      <c r="B70" s="104">
        <v>10.0</v>
      </c>
      <c r="C70" s="18"/>
      <c r="D70" s="18"/>
      <c r="E70" s="18"/>
      <c r="F70" s="18"/>
      <c r="G70" s="18"/>
      <c r="H70" s="21"/>
    </row>
    <row r="71" ht="15.75" customHeight="1">
      <c r="A71" s="98" t="s">
        <v>218</v>
      </c>
      <c r="B71" s="18"/>
      <c r="C71" s="18"/>
      <c r="D71" s="18"/>
      <c r="E71" s="18"/>
      <c r="F71" s="18"/>
      <c r="G71" s="18"/>
      <c r="H71" s="21"/>
    </row>
    <row r="72" ht="15.75" customHeight="1">
      <c r="A72" s="93" t="s">
        <v>221</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4.0</v>
      </c>
      <c r="D5" s="18"/>
      <c r="E5" s="18"/>
      <c r="F5" s="18"/>
      <c r="G5" s="21"/>
    </row>
    <row r="6" ht="15.75" customHeight="1">
      <c r="B6" s="88" t="s">
        <v>26</v>
      </c>
      <c r="C6" s="15">
        <f>H10+H21+H44+H68</f>
        <v>110</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171</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175</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179</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31</v>
      </c>
      <c r="C23" s="18"/>
      <c r="D23" s="18"/>
      <c r="E23" s="18"/>
      <c r="F23" s="18"/>
      <c r="G23" s="18"/>
      <c r="H23" s="21"/>
    </row>
    <row r="24" ht="15.75" customHeight="1">
      <c r="A24" s="49" t="s">
        <v>183</v>
      </c>
      <c r="B24" s="51" t="s">
        <v>31</v>
      </c>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IFERROR(__xludf.DUMMYFUNCTION("FILTER('Diseño'!D:D,'Diseño'!H:H=$C$5)"),"Visuales en simio")</f>
        <v>Visuales en simio</v>
      </c>
      <c r="C28" s="21"/>
      <c r="D28" s="15" t="str">
        <f>IFERROR(__xludf.DUMMYFUNCTION("FILTER('Diseño'!E:E,'Diseño'!H:H=$C$5)"),"Uso de graficas, listas y colas")</f>
        <v>Uso de graficas, listas y colas</v>
      </c>
      <c r="E28" s="21"/>
      <c r="F28" s="51" t="s">
        <v>189</v>
      </c>
      <c r="G28" s="18"/>
      <c r="H28" s="21"/>
    </row>
    <row r="29" ht="15.75" customHeight="1">
      <c r="A29" s="24">
        <v>2.0</v>
      </c>
      <c r="B29" s="15" t="str">
        <f>IFERROR(__xludf.DUMMYFUNCTION("FILTER('Diseño'!D:D,'Diseño'!H:H=$C$5)"),"Visuales en simio")</f>
        <v>Visuales en simio</v>
      </c>
      <c r="C29" s="21"/>
      <c r="D29" s="15" t="str">
        <f>IFERROR(__xludf.DUMMYFUNCTION("FILTER('Diseño'!E:E,'Diseño'!H:H=$C$5)"),"Uso de graficas, listas y colas")</f>
        <v>Uso de graficas, listas y colas</v>
      </c>
      <c r="E29" s="21"/>
      <c r="F29" s="51" t="s">
        <v>190</v>
      </c>
      <c r="G29" s="18"/>
      <c r="H29" s="21"/>
    </row>
    <row r="30" ht="15.75" customHeight="1">
      <c r="A30" s="24">
        <v>3.0</v>
      </c>
      <c r="B30" s="15" t="str">
        <f>IFERROR(__xludf.DUMMYFUNCTION("FILTER('Diseño'!D:D,'Diseño'!H:H=$C$5)"),"Visuales en simio")</f>
        <v>Visuales en simio</v>
      </c>
      <c r="C30" s="21"/>
      <c r="D30" s="15" t="str">
        <f>IFERROR(__xludf.DUMMYFUNCTION("FILTER('Diseño'!E:E,'Diseño'!H:H=$C$5)"),"Uso de graficas, listas y colas")</f>
        <v>Uso de graficas, listas y colas</v>
      </c>
      <c r="E30" s="21"/>
      <c r="F30" s="51" t="s">
        <v>191</v>
      </c>
      <c r="G30" s="18"/>
      <c r="H30" s="21"/>
    </row>
    <row r="31" ht="15.75" customHeight="1">
      <c r="A31" s="24">
        <v>4.0</v>
      </c>
      <c r="B31" s="15" t="str">
        <f>IFERROR(__xludf.DUMMYFUNCTION("FILTER('Diseño'!D:D,'Diseño'!H:H=$C$5)"),"Visuales en simio")</f>
        <v>Visuales en simio</v>
      </c>
      <c r="C31" s="21"/>
      <c r="D31" s="15" t="str">
        <f>IFERROR(__xludf.DUMMYFUNCTION("FILTER('Diseño'!E:E,'Diseño'!H:H=$C$5)"),"Uso de graficas, listas y colas")</f>
        <v>Uso de graficas, listas y colas</v>
      </c>
      <c r="E31" s="21"/>
      <c r="F31" s="51" t="s">
        <v>192</v>
      </c>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15.0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10.0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35</v>
      </c>
    </row>
    <row r="45" ht="15.75" customHeight="1">
      <c r="G45" s="43" t="s">
        <v>204</v>
      </c>
    </row>
    <row r="46" ht="15.75" customHeight="1">
      <c r="A46" s="43" t="s">
        <v>205</v>
      </c>
    </row>
    <row r="47">
      <c r="A47" s="49" t="s">
        <v>206</v>
      </c>
      <c r="B47" s="51" t="s">
        <v>31</v>
      </c>
      <c r="C47" s="18"/>
      <c r="D47" s="18"/>
      <c r="E47" s="18"/>
      <c r="F47" s="18"/>
      <c r="G47" s="18"/>
      <c r="H47" s="21"/>
    </row>
    <row r="48" ht="15.75" customHeight="1">
      <c r="A48" s="49" t="s">
        <v>12</v>
      </c>
      <c r="B48" s="51" t="s">
        <v>207</v>
      </c>
      <c r="C48" s="18"/>
      <c r="D48" s="18"/>
      <c r="E48" s="18"/>
      <c r="F48" s="18"/>
      <c r="G48" s="18"/>
      <c r="H48" s="21"/>
    </row>
    <row r="49" ht="15.75" customHeight="1">
      <c r="A49" s="49" t="s">
        <v>166</v>
      </c>
      <c r="B49" s="100">
        <v>0.0</v>
      </c>
      <c r="C49" s="18"/>
      <c r="D49" s="18"/>
      <c r="E49" s="18"/>
      <c r="F49" s="18"/>
      <c r="G49" s="18"/>
      <c r="H49" s="21"/>
    </row>
    <row r="50" ht="15.75" customHeight="1">
      <c r="A50" s="49" t="s">
        <v>43</v>
      </c>
      <c r="B50" s="51">
        <v>35.0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210</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4">
        <v>10.0</v>
      </c>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10</v>
      </c>
    </row>
    <row r="69" ht="15.75" customHeight="1">
      <c r="G69" s="43" t="s">
        <v>216</v>
      </c>
    </row>
    <row r="70" ht="15.75" customHeight="1">
      <c r="A70" s="49" t="s">
        <v>43</v>
      </c>
      <c r="B70" s="104">
        <v>10.0</v>
      </c>
      <c r="C70" s="18"/>
      <c r="D70" s="18"/>
      <c r="E70" s="18"/>
      <c r="F70" s="18"/>
      <c r="G70" s="18"/>
      <c r="H70" s="21"/>
    </row>
    <row r="71" ht="15.75" customHeight="1">
      <c r="A71" s="98" t="s">
        <v>218</v>
      </c>
      <c r="B71" s="18"/>
      <c r="C71" s="18"/>
      <c r="D71" s="18"/>
      <c r="E71" s="18"/>
      <c r="F71" s="18"/>
      <c r="G71" s="18"/>
      <c r="H71" s="21"/>
    </row>
    <row r="72" ht="15.75" customHeight="1">
      <c r="A72" s="81" t="s">
        <v>219</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5.0</v>
      </c>
      <c r="D5" s="18"/>
      <c r="E5" s="18"/>
      <c r="F5" s="18"/>
      <c r="G5" s="21"/>
    </row>
    <row r="6" ht="15.75" customHeight="1">
      <c r="B6" s="88" t="s">
        <v>26</v>
      </c>
      <c r="C6" s="15">
        <f>H10+H21+H44+H68</f>
        <v>115</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223</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224</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224</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27</v>
      </c>
      <c r="C23" s="18"/>
      <c r="D23" s="18"/>
      <c r="E23" s="18"/>
      <c r="F23" s="18"/>
      <c r="G23" s="18"/>
      <c r="H23" s="21"/>
    </row>
    <row r="24" ht="15.75" customHeight="1">
      <c r="A24" s="49" t="s">
        <v>183</v>
      </c>
      <c r="B24" s="15"/>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IFERROR(__xludf.DUMMYFUNCTION("FILTER('Diseño'!D:D,'Diseño'!H:H=$C$5)"),"Librería Estándar")</f>
        <v>Librería Estándar</v>
      </c>
      <c r="C28" s="21"/>
      <c r="D28" s="15" t="str">
        <f>IFERROR(__xludf.DUMMYFUNCTION("FILTER('Diseño'!E:E,'Diseño'!H:H=$C$5)"),"Combiners, separadors, inventarios")</f>
        <v>Combiners, separadors, inventarios</v>
      </c>
      <c r="E28" s="21"/>
      <c r="F28" s="15" t="str">
        <f>IFERROR(__xludf.DUMMYFUNCTION("FILTER('Diseño'!F:F,'Diseño'!H:H=$C$5)"),"Explicación y uso de Combiner")</f>
        <v>Explicación y uso de Combiner</v>
      </c>
      <c r="G28" s="18"/>
      <c r="H28" s="21"/>
    </row>
    <row r="29" ht="15.75" customHeight="1">
      <c r="A29" s="24">
        <v>2.0</v>
      </c>
      <c r="B29" s="15" t="str">
        <f>IFERROR(__xludf.DUMMYFUNCTION("""COMPUTED_VALUE"""),"Librería Estándar")</f>
        <v>Librería Estándar</v>
      </c>
      <c r="C29" s="21"/>
      <c r="D29" s="15" t="str">
        <f>IFERROR(__xludf.DUMMYFUNCTION("""COMPUTED_VALUE"""),"Combiners, separadors, inventarios")</f>
        <v>Combiners, separadors, inventarios</v>
      </c>
      <c r="E29" s="21"/>
      <c r="F29" s="15" t="str">
        <f>IFERROR(__xludf.DUMMYFUNCTION("""COMPUTED_VALUE"""),"Explicación y uso Separator")</f>
        <v>Explicación y uso Separator</v>
      </c>
      <c r="G29" s="18"/>
      <c r="H29" s="21"/>
    </row>
    <row r="30" ht="15.75" customHeight="1">
      <c r="A30" s="24">
        <v>3.0</v>
      </c>
      <c r="B30" s="15" t="str">
        <f>IFERROR(__xludf.DUMMYFUNCTION("""COMPUTED_VALUE"""),"Librería Estándar")</f>
        <v>Librería Estándar</v>
      </c>
      <c r="C30" s="21"/>
      <c r="D30" s="15" t="str">
        <f>IFERROR(__xludf.DUMMYFUNCTION("""COMPUTED_VALUE"""),"Combiners, separadors, inventarios")</f>
        <v>Combiners, separadors, inventarios</v>
      </c>
      <c r="E30" s="21"/>
      <c r="F30" s="15" t="str">
        <f>IFERROR(__xludf.DUMMYFUNCTION("""COMPUTED_VALUE"""),"Como manipular Inventarios en Simio")</f>
        <v>Como manipular Inventarios en Simio</v>
      </c>
      <c r="G30" s="18"/>
      <c r="H30" s="21"/>
    </row>
    <row r="31" ht="15.75" customHeight="1">
      <c r="A31" s="24">
        <v>4.0</v>
      </c>
      <c r="B31" s="15" t="str">
        <f>IFERROR(__xludf.DUMMYFUNCTION("""COMPUTED_VALUE"""),"Librería Estándar")</f>
        <v>Librería Estándar</v>
      </c>
      <c r="C31" s="21"/>
      <c r="D31" s="15" t="str">
        <f>IFERROR(__xludf.DUMMYFUNCTION("""COMPUTED_VALUE"""),"Combiners, separadors, inventarios")</f>
        <v>Combiners, separadors, inventarios</v>
      </c>
      <c r="E31" s="21"/>
      <c r="F31" s="15" t="str">
        <f>IFERROR(__xludf.DUMMYFUNCTION("""COMPUTED_VALUE"""),"Como aplicar un Timer en Simio")</f>
        <v>Como aplicar un Timer en Simio</v>
      </c>
      <c r="G31" s="18"/>
      <c r="H31" s="21"/>
    </row>
    <row r="32" ht="15.75" customHeight="1">
      <c r="A32" s="24">
        <v>5.0</v>
      </c>
      <c r="B32" s="15" t="str">
        <f>IFERROR(__xludf.DUMMYFUNCTION("""COMPUTED_VALUE"""),"Librería Estándar")</f>
        <v>Librería Estándar</v>
      </c>
      <c r="C32" s="21"/>
      <c r="D32" s="15" t="str">
        <f>IFERROR(__xludf.DUMMYFUNCTION("""COMPUTED_VALUE"""),"Combiners, separadors, inventarios")</f>
        <v>Combiners, separadors, inventarios</v>
      </c>
      <c r="E32" s="21"/>
      <c r="F32" s="15" t="str">
        <f>IFERROR(__xludf.DUMMYFUNCTION("""COMPUTED_VALUE"""),"Política mínimo y máximo")</f>
        <v>Política mínimo y máximo</v>
      </c>
      <c r="G32" s="18"/>
      <c r="H32" s="21"/>
    </row>
    <row r="33" ht="15.75" customHeight="1">
      <c r="A33" s="24">
        <v>6.0</v>
      </c>
      <c r="B33" s="15" t="str">
        <f>IFERROR(__xludf.DUMMYFUNCTION("""COMPUTED_VALUE"""),"Librería Estándar")</f>
        <v>Librería Estándar</v>
      </c>
      <c r="C33" s="21"/>
      <c r="D33" s="15" t="str">
        <f>IFERROR(__xludf.DUMMYFUNCTION("""COMPUTED_VALUE"""),"Combiners, separadors, inventarios")</f>
        <v>Combiners, separadors, inventarios</v>
      </c>
      <c r="E33" s="21"/>
      <c r="F33" s="15" t="str">
        <f>IFERROR(__xludf.DUMMYFUNCTION("""COMPUTED_VALUE"""),"Política de punto de reorden")</f>
        <v>Política de punto de reorden</v>
      </c>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15.0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10.0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40</v>
      </c>
    </row>
    <row r="45" ht="15.75" customHeight="1">
      <c r="G45" s="43" t="s">
        <v>204</v>
      </c>
    </row>
    <row r="46" ht="15.75" customHeight="1">
      <c r="A46" s="43" t="s">
        <v>205</v>
      </c>
    </row>
    <row r="47">
      <c r="A47" s="49" t="s">
        <v>206</v>
      </c>
      <c r="B47" s="51" t="s">
        <v>31</v>
      </c>
      <c r="C47" s="18"/>
      <c r="D47" s="18"/>
      <c r="E47" s="18"/>
      <c r="F47" s="18"/>
      <c r="G47" s="18"/>
      <c r="H47" s="21"/>
    </row>
    <row r="48" ht="15.75" customHeight="1">
      <c r="A48" s="49" t="s">
        <v>12</v>
      </c>
      <c r="B48" s="51" t="s">
        <v>207</v>
      </c>
      <c r="C48" s="18"/>
      <c r="D48" s="18"/>
      <c r="E48" s="18"/>
      <c r="F48" s="18"/>
      <c r="G48" s="18"/>
      <c r="H48" s="21"/>
    </row>
    <row r="49" ht="15.75" customHeight="1">
      <c r="A49" s="49" t="s">
        <v>166</v>
      </c>
      <c r="B49" s="100">
        <v>0.0</v>
      </c>
      <c r="C49" s="18"/>
      <c r="D49" s="18"/>
      <c r="E49" s="18"/>
      <c r="F49" s="18"/>
      <c r="G49" s="18"/>
      <c r="H49" s="21"/>
    </row>
    <row r="50" ht="15.75" customHeight="1">
      <c r="A50" s="49" t="s">
        <v>43</v>
      </c>
      <c r="B50" s="51">
        <v>40.0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234</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10</v>
      </c>
    </row>
    <row r="69" ht="15.75" customHeight="1">
      <c r="G69" s="43" t="s">
        <v>216</v>
      </c>
    </row>
    <row r="70" ht="15.75" customHeight="1">
      <c r="A70" s="49" t="s">
        <v>43</v>
      </c>
      <c r="B70" s="104">
        <v>10.0</v>
      </c>
      <c r="C70" s="18"/>
      <c r="D70" s="18"/>
      <c r="E70" s="18"/>
      <c r="F70" s="18"/>
      <c r="G70" s="18"/>
      <c r="H70" s="21"/>
    </row>
    <row r="71" ht="15.75" customHeight="1">
      <c r="A71" s="98" t="s">
        <v>218</v>
      </c>
      <c r="B71" s="18"/>
      <c r="C71" s="18"/>
      <c r="D71" s="18"/>
      <c r="E71" s="18"/>
      <c r="F71" s="18"/>
      <c r="G71" s="18"/>
      <c r="H71" s="21"/>
    </row>
    <row r="72" ht="15.75" customHeight="1">
      <c r="A72" s="93" t="s">
        <v>219</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6.0</v>
      </c>
      <c r="D5" s="18"/>
      <c r="E5" s="18"/>
      <c r="F5" s="18"/>
      <c r="G5" s="21"/>
    </row>
    <row r="6" ht="15.75" customHeight="1">
      <c r="B6" s="88" t="s">
        <v>26</v>
      </c>
      <c r="C6" s="15">
        <f>H10+H21+H44+H68</f>
        <v>105</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225</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226</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227</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27</v>
      </c>
      <c r="C23" s="18"/>
      <c r="D23" s="18"/>
      <c r="E23" s="18"/>
      <c r="F23" s="18"/>
      <c r="G23" s="18"/>
      <c r="H23" s="21"/>
    </row>
    <row r="24" ht="15.75" customHeight="1">
      <c r="A24" s="49" t="s">
        <v>183</v>
      </c>
      <c r="B24" s="51" t="s">
        <v>31</v>
      </c>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IFERROR(__xludf.DUMMYFUNCTION("FILTER('Diseño'!D:D,'Diseño'!H:H=$C$5)"),"Procesos")</f>
        <v>Procesos</v>
      </c>
      <c r="C28" s="21"/>
      <c r="D28" s="15" t="str">
        <f>IFERROR(__xludf.DUMMYFUNCTION("FILTER('Diseño'!E:E,'Diseño'!H:H=$C$5)"),"Modelando procesos")</f>
        <v>Modelando procesos</v>
      </c>
      <c r="E28" s="21"/>
      <c r="F28" s="51" t="s">
        <v>35</v>
      </c>
      <c r="G28" s="18"/>
      <c r="H28" s="21"/>
    </row>
    <row r="29" ht="15.75" customHeight="1">
      <c r="A29" s="24">
        <v>2.0</v>
      </c>
      <c r="B29" s="15" t="str">
        <f>IFERROR(__xludf.DUMMYFUNCTION("FILTER('Diseño'!D:D,'Diseño'!H:H=$C$5)"),"Procesos")</f>
        <v>Procesos</v>
      </c>
      <c r="C29" s="21"/>
      <c r="D29" s="15" t="str">
        <f>IFERROR(__xludf.DUMMYFUNCTION("FILTER('Diseño'!E:E,'Diseño'!H:H=$C$5)"),"Modelando procesos")</f>
        <v>Modelando procesos</v>
      </c>
      <c r="E29" s="21"/>
      <c r="F29" s="51" t="s">
        <v>230</v>
      </c>
      <c r="G29" s="18"/>
      <c r="H29" s="21"/>
    </row>
    <row r="30" ht="15.75" customHeight="1">
      <c r="A30" s="24">
        <v>3.0</v>
      </c>
      <c r="B30" s="15" t="str">
        <f>IFERROR(__xludf.DUMMYFUNCTION("FILTER('Diseño'!D:D,'Diseño'!H:H=$C$5)"),"Procesos")</f>
        <v>Procesos</v>
      </c>
      <c r="C30" s="21"/>
      <c r="D30" s="15" t="str">
        <f>IFERROR(__xludf.DUMMYFUNCTION("FILTER('Diseño'!E:E,'Diseño'!H:H=$C$5)"),"Modelando procesos")</f>
        <v>Modelando procesos</v>
      </c>
      <c r="E30" s="21"/>
      <c r="F30" s="51" t="s">
        <v>231</v>
      </c>
      <c r="G30" s="18"/>
      <c r="H30" s="21"/>
    </row>
    <row r="31" ht="15.75" customHeight="1">
      <c r="A31" s="24">
        <v>4.0</v>
      </c>
      <c r="B31" s="15" t="str">
        <f>IFERROR(__xludf.DUMMYFUNCTION("FILTER('Diseño'!D:D,'Diseño'!H:H=$C$5)"),"Procesos")</f>
        <v>Procesos</v>
      </c>
      <c r="C31" s="21"/>
      <c r="D31" s="15" t="str">
        <f>IFERROR(__xludf.DUMMYFUNCTION("FILTER('Diseño'!E:E,'Diseño'!H:H=$C$5)"),"Modelando procesos")</f>
        <v>Modelando procesos</v>
      </c>
      <c r="E31" s="21"/>
      <c r="F31" s="51" t="s">
        <v>233</v>
      </c>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25.0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35</v>
      </c>
    </row>
    <row r="45" ht="15.75" customHeight="1">
      <c r="G45" s="43" t="s">
        <v>204</v>
      </c>
    </row>
    <row r="46" ht="15.75" customHeight="1">
      <c r="A46" s="43" t="s">
        <v>205</v>
      </c>
    </row>
    <row r="47">
      <c r="A47" s="49" t="s">
        <v>206</v>
      </c>
      <c r="B47" s="51" t="s">
        <v>31</v>
      </c>
      <c r="C47" s="18"/>
      <c r="D47" s="18"/>
      <c r="E47" s="18"/>
      <c r="F47" s="18"/>
      <c r="G47" s="18"/>
      <c r="H47" s="21"/>
    </row>
    <row r="48" ht="15.75" customHeight="1">
      <c r="A48" s="49" t="s">
        <v>12</v>
      </c>
      <c r="B48" s="51" t="s">
        <v>207</v>
      </c>
      <c r="C48" s="18"/>
      <c r="D48" s="18"/>
      <c r="E48" s="18"/>
      <c r="F48" s="18"/>
      <c r="G48" s="18"/>
      <c r="H48" s="21"/>
    </row>
    <row r="49" ht="15.75" customHeight="1">
      <c r="A49" s="49" t="s">
        <v>166</v>
      </c>
      <c r="B49" s="100">
        <v>0.0</v>
      </c>
      <c r="C49" s="18"/>
      <c r="D49" s="18"/>
      <c r="E49" s="18"/>
      <c r="F49" s="18"/>
      <c r="G49" s="18"/>
      <c r="H49" s="21"/>
    </row>
    <row r="50" ht="15.75" customHeight="1">
      <c r="A50" s="49" t="s">
        <v>43</v>
      </c>
      <c r="B50" s="51">
        <v>35.0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235</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5</v>
      </c>
    </row>
    <row r="69" ht="15.75" customHeight="1">
      <c r="G69" s="43" t="s">
        <v>216</v>
      </c>
    </row>
    <row r="70" ht="15.75" customHeight="1">
      <c r="A70" s="49" t="s">
        <v>43</v>
      </c>
      <c r="B70" s="104">
        <v>5.0</v>
      </c>
      <c r="C70" s="18"/>
      <c r="D70" s="18"/>
      <c r="E70" s="18"/>
      <c r="F70" s="18"/>
      <c r="G70" s="18"/>
      <c r="H70" s="21"/>
    </row>
    <row r="71" ht="15.75" customHeight="1">
      <c r="A71" s="98" t="s">
        <v>218</v>
      </c>
      <c r="B71" s="18"/>
      <c r="C71" s="18"/>
      <c r="D71" s="18"/>
      <c r="E71" s="18"/>
      <c r="F71" s="18"/>
      <c r="G71" s="18"/>
      <c r="H71" s="21"/>
    </row>
    <row r="72" ht="15.75" customHeight="1">
      <c r="A72" s="81" t="s">
        <v>219</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7.0</v>
      </c>
      <c r="D5" s="18"/>
      <c r="E5" s="18"/>
      <c r="F5" s="18"/>
      <c r="G5" s="21"/>
    </row>
    <row r="6" ht="15.75" customHeight="1">
      <c r="B6" s="88" t="s">
        <v>26</v>
      </c>
      <c r="C6" s="15">
        <f>H10+H21+H44+H68</f>
        <v>110</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228</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229</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229</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232</v>
      </c>
      <c r="C23" s="18"/>
      <c r="D23" s="18"/>
      <c r="E23" s="18"/>
      <c r="F23" s="18"/>
      <c r="G23" s="18"/>
      <c r="H23" s="21"/>
    </row>
    <row r="24" ht="15.75" customHeight="1">
      <c r="A24" s="49" t="s">
        <v>183</v>
      </c>
      <c r="B24" s="15"/>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IFERROR(__xludf.DUMMYFUNCTION("FILTER('Diseño'!D:D,'Diseño'!H:H=$C$5)"),"Interpretación de resultados")</f>
        <v>Interpretación de resultados</v>
      </c>
      <c r="C28" s="21"/>
      <c r="D28" s="15" t="str">
        <f>IFERROR(__xludf.DUMMYFUNCTION("FILTER('Diseño'!E:E,'Diseño'!H:H=$C$5)"),"Como realizar finanzas en Simio")</f>
        <v>Como realizar finanzas en Simio</v>
      </c>
      <c r="E28" s="21"/>
      <c r="F28" s="15" t="str">
        <f>IFERROR(__xludf.DUMMYFUNCTION("FILTER('Diseño'!F:F,'Diseño'!H:H=$C$5)"),"Introduccion a finanzas")</f>
        <v>Introduccion a finanzas</v>
      </c>
      <c r="G28" s="18"/>
      <c r="H28" s="21"/>
    </row>
    <row r="29" ht="15.75" customHeight="1">
      <c r="A29" s="24">
        <v>2.0</v>
      </c>
      <c r="B29" s="15" t="str">
        <f>IFERROR(__xludf.DUMMYFUNCTION("""COMPUTED_VALUE"""),"Interpretación de resultados")</f>
        <v>Interpretación de resultados</v>
      </c>
      <c r="C29" s="21"/>
      <c r="D29" s="15" t="str">
        <f>IFERROR(__xludf.DUMMYFUNCTION("""COMPUTED_VALUE"""),"Como realizar finanzas en Simio")</f>
        <v>Como realizar finanzas en Simio</v>
      </c>
      <c r="E29" s="21"/>
      <c r="F29" s="15" t="str">
        <f>IFERROR(__xludf.DUMMYFUNCTION("""COMPUTED_VALUE"""),"Como realizar el cambio de divisas")</f>
        <v>Como realizar el cambio de divisas</v>
      </c>
      <c r="G29" s="18"/>
      <c r="H29" s="21"/>
    </row>
    <row r="30" ht="15.75" customHeight="1">
      <c r="A30" s="24">
        <v>3.0</v>
      </c>
      <c r="B30" s="15" t="str">
        <f>IFERROR(__xludf.DUMMYFUNCTION("""COMPUTED_VALUE"""),"Interpretación de resultados")</f>
        <v>Interpretación de resultados</v>
      </c>
      <c r="C30" s="21"/>
      <c r="D30" s="15" t="str">
        <f>IFERROR(__xludf.DUMMYFUNCTION("""COMPUTED_VALUE"""),"Como realizar finanzas en Simio")</f>
        <v>Como realizar finanzas en Simio</v>
      </c>
      <c r="E30" s="21"/>
      <c r="F30" s="15" t="str">
        <f>IFERROR(__xludf.DUMMYFUNCTION("""COMPUTED_VALUE"""),"Como aplicar gastos por uso de un servidor")</f>
        <v>Como aplicar gastos por uso de un servidor</v>
      </c>
      <c r="G30" s="18"/>
      <c r="H30" s="21"/>
    </row>
    <row r="31" ht="15.75" customHeight="1">
      <c r="A31" s="24">
        <v>4.0</v>
      </c>
      <c r="B31" s="15" t="str">
        <f>IFERROR(__xludf.DUMMYFUNCTION("""COMPUTED_VALUE"""),"Interpretación de resultados")</f>
        <v>Interpretación de resultados</v>
      </c>
      <c r="C31" s="21"/>
      <c r="D31" s="15" t="str">
        <f>IFERROR(__xludf.DUMMYFUNCTION("""COMPUTED_VALUE"""),"Como realizar finanzas en Simio")</f>
        <v>Como realizar finanzas en Simio</v>
      </c>
      <c r="E31" s="21"/>
      <c r="F31" s="15" t="str">
        <f>IFERROR(__xludf.DUMMYFUNCTION("""COMPUTED_VALUE"""),"Creacion de variables de centro de costos")</f>
        <v>Creacion de variables de centro de costos</v>
      </c>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20.0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10.0</v>
      </c>
      <c r="E41" s="18"/>
      <c r="F41" s="18"/>
      <c r="G41" s="18"/>
      <c r="H41" s="21"/>
      <c r="I41" s="24" t="str">
        <f t="shared" si="1"/>
        <v>Correcto</v>
      </c>
    </row>
    <row r="42" ht="15.75" customHeight="1">
      <c r="A42" s="24" t="s">
        <v>202</v>
      </c>
      <c r="B42" s="24" t="s">
        <v>198</v>
      </c>
      <c r="C42" s="24">
        <v>30.0</v>
      </c>
      <c r="D42" s="51">
        <v>25.0</v>
      </c>
      <c r="E42" s="18"/>
      <c r="F42" s="18"/>
      <c r="G42" s="18"/>
      <c r="H42" s="21"/>
      <c r="I42" s="24" t="str">
        <f t="shared" si="1"/>
        <v>Correcto</v>
      </c>
    </row>
    <row r="43" ht="15.75" customHeight="1"/>
    <row r="44" ht="15.75" customHeight="1">
      <c r="A44" s="90" t="s">
        <v>203</v>
      </c>
      <c r="G44" s="76" t="s">
        <v>43</v>
      </c>
      <c r="H44" s="91">
        <f>B50</f>
        <v>35</v>
      </c>
    </row>
    <row r="45" ht="15.75" customHeight="1">
      <c r="G45" s="43" t="s">
        <v>204</v>
      </c>
    </row>
    <row r="46" ht="15.75" customHeight="1">
      <c r="A46" s="43" t="s">
        <v>205</v>
      </c>
    </row>
    <row r="47">
      <c r="A47" s="49" t="s">
        <v>206</v>
      </c>
      <c r="B47" s="51" t="s">
        <v>232</v>
      </c>
      <c r="C47" s="18"/>
      <c r="D47" s="18"/>
      <c r="E47" s="18"/>
      <c r="F47" s="18"/>
      <c r="G47" s="18"/>
      <c r="H47" s="21"/>
    </row>
    <row r="48" ht="15.75" customHeight="1">
      <c r="A48" s="49" t="s">
        <v>12</v>
      </c>
      <c r="B48" s="51" t="s">
        <v>207</v>
      </c>
      <c r="C48" s="18"/>
      <c r="D48" s="18"/>
      <c r="E48" s="18"/>
      <c r="F48" s="18"/>
      <c r="G48" s="18"/>
      <c r="H48" s="21"/>
    </row>
    <row r="49" ht="15.75" customHeight="1">
      <c r="A49" s="49" t="s">
        <v>166</v>
      </c>
      <c r="B49" s="100">
        <v>0.0</v>
      </c>
      <c r="C49" s="18"/>
      <c r="D49" s="18"/>
      <c r="E49" s="18"/>
      <c r="F49" s="18"/>
      <c r="G49" s="18"/>
      <c r="H49" s="21"/>
    </row>
    <row r="50" ht="15.75" customHeight="1">
      <c r="A50" s="49" t="s">
        <v>43</v>
      </c>
      <c r="B50" s="51">
        <v>35.0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236</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10</v>
      </c>
    </row>
    <row r="69" ht="15.75" customHeight="1">
      <c r="G69" s="43" t="s">
        <v>216</v>
      </c>
    </row>
    <row r="70" ht="15.75" customHeight="1">
      <c r="A70" s="49" t="s">
        <v>43</v>
      </c>
      <c r="B70" s="104">
        <v>10.0</v>
      </c>
      <c r="C70" s="18"/>
      <c r="D70" s="18"/>
      <c r="E70" s="18"/>
      <c r="F70" s="18"/>
      <c r="G70" s="18"/>
      <c r="H70" s="21"/>
    </row>
    <row r="71" ht="15.75" customHeight="1">
      <c r="A71" s="98" t="s">
        <v>218</v>
      </c>
      <c r="B71" s="18"/>
      <c r="C71" s="18"/>
      <c r="D71" s="18"/>
      <c r="E71" s="18"/>
      <c r="F71" s="18"/>
      <c r="G71" s="18"/>
      <c r="H71" s="21"/>
    </row>
    <row r="72" ht="15.75" customHeight="1">
      <c r="A72" s="93" t="s">
        <v>219</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8.0</v>
      </c>
      <c r="D5" s="18"/>
      <c r="E5" s="18"/>
      <c r="F5" s="18"/>
      <c r="G5" s="21"/>
    </row>
    <row r="6" ht="15.75" customHeight="1">
      <c r="B6" s="88" t="s">
        <v>26</v>
      </c>
      <c r="C6" s="15">
        <f>H10+H21+H44+H68</f>
        <v>110</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237</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238</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239</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232</v>
      </c>
      <c r="C23" s="18"/>
      <c r="D23" s="18"/>
      <c r="E23" s="18"/>
      <c r="F23" s="18"/>
      <c r="G23" s="18"/>
      <c r="H23" s="21"/>
    </row>
    <row r="24" ht="15.75" customHeight="1">
      <c r="A24" s="49" t="s">
        <v>183</v>
      </c>
      <c r="B24" s="51" t="s">
        <v>184</v>
      </c>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07">
        <v>6.0</v>
      </c>
      <c r="C28" s="21"/>
      <c r="D28" s="33" t="s">
        <v>42</v>
      </c>
      <c r="E28" s="21"/>
      <c r="F28" s="33" t="s">
        <v>241</v>
      </c>
      <c r="G28" s="21"/>
      <c r="H28" s="108"/>
    </row>
    <row r="29" ht="15.75" customHeight="1">
      <c r="A29" s="24">
        <v>2.0</v>
      </c>
      <c r="B29" s="107">
        <v>6.0</v>
      </c>
      <c r="C29" s="21"/>
      <c r="D29" s="33" t="s">
        <v>42</v>
      </c>
      <c r="E29" s="21"/>
      <c r="F29" s="33" t="s">
        <v>243</v>
      </c>
      <c r="G29" s="21"/>
      <c r="H29" s="108"/>
    </row>
    <row r="30" ht="15.75" customHeight="1">
      <c r="A30" s="24">
        <v>3.0</v>
      </c>
      <c r="B30" s="107">
        <v>6.0</v>
      </c>
      <c r="C30" s="21"/>
      <c r="D30" s="33" t="s">
        <v>42</v>
      </c>
      <c r="E30" s="21"/>
      <c r="F30" s="33" t="s">
        <v>244</v>
      </c>
      <c r="G30" s="21"/>
      <c r="H30" s="108"/>
    </row>
    <row r="31" ht="15.75" customHeight="1">
      <c r="A31" s="24">
        <v>4.0</v>
      </c>
      <c r="B31" s="15"/>
      <c r="C31" s="21"/>
      <c r="D31" s="15"/>
      <c r="E31" s="21"/>
      <c r="F31" s="15"/>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25.0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40</v>
      </c>
    </row>
    <row r="45" ht="15.75" customHeight="1">
      <c r="G45" s="43" t="s">
        <v>204</v>
      </c>
    </row>
    <row r="46" ht="15.75" customHeight="1">
      <c r="A46" s="43" t="s">
        <v>205</v>
      </c>
    </row>
    <row r="47">
      <c r="A47" s="49" t="s">
        <v>206</v>
      </c>
      <c r="B47" s="51" t="s">
        <v>31</v>
      </c>
      <c r="C47" s="18"/>
      <c r="D47" s="18"/>
      <c r="E47" s="18"/>
      <c r="F47" s="18"/>
      <c r="G47" s="18"/>
      <c r="H47" s="21"/>
    </row>
    <row r="48" ht="15.75" customHeight="1">
      <c r="A48" s="49" t="s">
        <v>12</v>
      </c>
      <c r="B48" s="51" t="s">
        <v>207</v>
      </c>
      <c r="C48" s="18"/>
      <c r="D48" s="18"/>
      <c r="E48" s="18"/>
      <c r="F48" s="18"/>
      <c r="G48" s="18"/>
      <c r="H48" s="21"/>
    </row>
    <row r="49" ht="15.75" customHeight="1">
      <c r="A49" s="49" t="s">
        <v>166</v>
      </c>
      <c r="B49" s="100">
        <v>0.0</v>
      </c>
      <c r="C49" s="18"/>
      <c r="D49" s="18"/>
      <c r="E49" s="18"/>
      <c r="F49" s="18"/>
      <c r="G49" s="18"/>
      <c r="H49" s="21"/>
    </row>
    <row r="50" ht="15.75" customHeight="1">
      <c r="A50" s="49" t="s">
        <v>43</v>
      </c>
      <c r="B50" s="51">
        <v>40.0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235</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5</v>
      </c>
    </row>
    <row r="69" ht="15.75" customHeight="1">
      <c r="G69" s="43" t="s">
        <v>216</v>
      </c>
    </row>
    <row r="70" ht="15.75" customHeight="1">
      <c r="A70" s="49" t="s">
        <v>43</v>
      </c>
      <c r="B70" s="104">
        <v>5.0</v>
      </c>
      <c r="C70" s="18"/>
      <c r="D70" s="18"/>
      <c r="E70" s="18"/>
      <c r="F70" s="18"/>
      <c r="G70" s="18"/>
      <c r="H70" s="21"/>
    </row>
    <row r="71" ht="15.75" customHeight="1">
      <c r="A71" s="98" t="s">
        <v>218</v>
      </c>
      <c r="B71" s="18"/>
      <c r="C71" s="18"/>
      <c r="D71" s="18"/>
      <c r="E71" s="18"/>
      <c r="F71" s="18"/>
      <c r="G71" s="18"/>
      <c r="H71" s="21"/>
    </row>
    <row r="72" ht="15.75" customHeight="1">
      <c r="A72" s="93" t="s">
        <v>248</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G28"/>
    <mergeCell ref="D31:E31"/>
    <mergeCell ref="F31:H31"/>
    <mergeCell ref="B29:C29"/>
    <mergeCell ref="D29:E29"/>
    <mergeCell ref="F29:G29"/>
    <mergeCell ref="B30:C30"/>
    <mergeCell ref="D30:E30"/>
    <mergeCell ref="F30:G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9.0</v>
      </c>
      <c r="D5" s="18"/>
      <c r="E5" s="18"/>
      <c r="F5" s="18"/>
      <c r="G5" s="21"/>
    </row>
    <row r="6" ht="15.75" customHeight="1">
      <c r="B6" s="88" t="s">
        <v>26</v>
      </c>
      <c r="C6" s="15">
        <f>H10+H21+H44+H68</f>
        <v>115</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240</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242</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242</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184</v>
      </c>
      <c r="C23" s="18"/>
      <c r="D23" s="18"/>
      <c r="E23" s="18"/>
      <c r="F23" s="18"/>
      <c r="G23" s="18"/>
      <c r="H23" s="21"/>
    </row>
    <row r="24" ht="15.75" customHeight="1">
      <c r="A24" s="49" t="s">
        <v>183</v>
      </c>
      <c r="B24" s="15"/>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IFERROR(__xludf.DUMMYFUNCTION("FILTER('Diseño'!D:D,'Diseño'!H:H=$C$5)"),"Librería de Flujo")</f>
        <v>Librería de Flujo</v>
      </c>
      <c r="C28" s="21"/>
      <c r="D28" s="15" t="str">
        <f>IFERROR(__xludf.DUMMYFUNCTION("FILTER('Diseño'!E:E,'Diseño'!H:H=$C$5)"),"Aplicacion de fluidos usando Simio")</f>
        <v>Aplicacion de fluidos usando Simio</v>
      </c>
      <c r="E28" s="21"/>
      <c r="F28" s="15" t="str">
        <f>IFERROR(__xludf.DUMMYFUNCTION("FILTER('Diseño'!F:F,'Diseño'!H:H=$C$5)"),"Introduccion a la libreria de flujos")</f>
        <v>Introduccion a la libreria de flujos</v>
      </c>
      <c r="G28" s="18"/>
      <c r="H28" s="21"/>
    </row>
    <row r="29" ht="15.75" customHeight="1">
      <c r="A29" s="24">
        <v>2.0</v>
      </c>
      <c r="B29" s="15" t="str">
        <f>IFERROR(__xludf.DUMMYFUNCTION("""COMPUTED_VALUE"""),"Librería de Flujo")</f>
        <v>Librería de Flujo</v>
      </c>
      <c r="C29" s="21"/>
      <c r="D29" s="15" t="str">
        <f>IFERROR(__xludf.DUMMYFUNCTION("""COMPUTED_VALUE"""),"Aplicacion de fluidos usando Simio")</f>
        <v>Aplicacion de fluidos usando Simio</v>
      </c>
      <c r="E29" s="21"/>
      <c r="F29" s="15" t="str">
        <f>IFERROR(__xludf.DUMMYFUNCTION("""COMPUTED_VALUE"""),"Explicacion de como podemos aplicarla en nuestros modelos")</f>
        <v>Explicacion de como podemos aplicarla en nuestros modelos</v>
      </c>
      <c r="G29" s="18"/>
      <c r="H29" s="21"/>
    </row>
    <row r="30" ht="15.75" customHeight="1">
      <c r="A30" s="24">
        <v>3.0</v>
      </c>
      <c r="B30" s="15" t="str">
        <f>IFERROR(__xludf.DUMMYFUNCTION("""COMPUTED_VALUE"""),"Librería de Flujo")</f>
        <v>Librería de Flujo</v>
      </c>
      <c r="C30" s="21"/>
      <c r="D30" s="15" t="str">
        <f>IFERROR(__xludf.DUMMYFUNCTION("""COMPUTED_VALUE"""),"Aplicacion de fluidos usando Simio")</f>
        <v>Aplicacion de fluidos usando Simio</v>
      </c>
      <c r="E30" s="21"/>
      <c r="F30" s="15" t="str">
        <f>IFERROR(__xludf.DUMMYFUNCTION("""COMPUTED_VALUE"""),"Componentes principales de la libreria de flujos")</f>
        <v>Componentes principales de la libreria de flujos</v>
      </c>
      <c r="G30" s="18"/>
      <c r="H30" s="21"/>
    </row>
    <row r="31" ht="15.75" customHeight="1">
      <c r="A31" s="24">
        <v>4.0</v>
      </c>
      <c r="B31" s="15"/>
      <c r="C31" s="21"/>
      <c r="D31" s="15"/>
      <c r="E31" s="21"/>
      <c r="F31" s="15"/>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15.0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10.0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40</v>
      </c>
    </row>
    <row r="45" ht="15.75" customHeight="1">
      <c r="G45" s="43" t="s">
        <v>204</v>
      </c>
    </row>
    <row r="46" ht="15.75" customHeight="1">
      <c r="A46" s="43" t="s">
        <v>205</v>
      </c>
    </row>
    <row r="47">
      <c r="A47" s="49" t="s">
        <v>206</v>
      </c>
      <c r="B47" s="51" t="s">
        <v>184</v>
      </c>
      <c r="C47" s="18"/>
      <c r="D47" s="18"/>
      <c r="E47" s="18"/>
      <c r="F47" s="18"/>
      <c r="G47" s="18"/>
      <c r="H47" s="21"/>
    </row>
    <row r="48" ht="15.75" customHeight="1">
      <c r="A48" s="49" t="s">
        <v>12</v>
      </c>
      <c r="B48" s="15" t="s">
        <v>211</v>
      </c>
      <c r="C48" s="18"/>
      <c r="D48" s="18"/>
      <c r="E48" s="18"/>
      <c r="F48" s="18"/>
      <c r="G48" s="18"/>
      <c r="H48" s="21"/>
    </row>
    <row r="49" ht="15.75" customHeight="1">
      <c r="A49" s="49" t="s">
        <v>166</v>
      </c>
      <c r="B49" s="104">
        <v>0.0</v>
      </c>
      <c r="C49" s="18"/>
      <c r="D49" s="18"/>
      <c r="E49" s="18"/>
      <c r="F49" s="18"/>
      <c r="G49" s="18"/>
      <c r="H49" s="21"/>
    </row>
    <row r="50" ht="15.75" customHeight="1">
      <c r="A50" s="49" t="s">
        <v>43</v>
      </c>
      <c r="B50" s="51">
        <v>40.0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251</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10</v>
      </c>
    </row>
    <row r="69" ht="15.75" customHeight="1">
      <c r="G69" s="43" t="s">
        <v>216</v>
      </c>
    </row>
    <row r="70" ht="15.75" customHeight="1">
      <c r="A70" s="49" t="s">
        <v>43</v>
      </c>
      <c r="B70" s="104">
        <v>10.0</v>
      </c>
      <c r="C70" s="18"/>
      <c r="D70" s="18"/>
      <c r="E70" s="18"/>
      <c r="F70" s="18"/>
      <c r="G70" s="18"/>
      <c r="H70" s="21"/>
    </row>
    <row r="71" ht="15.75" customHeight="1">
      <c r="A71" s="98" t="s">
        <v>218</v>
      </c>
      <c r="B71" s="18"/>
      <c r="C71" s="18"/>
      <c r="D71" s="18"/>
      <c r="E71" s="18"/>
      <c r="F71" s="18"/>
      <c r="G71" s="18"/>
      <c r="H71" s="21"/>
    </row>
    <row r="72" ht="15.75" customHeight="1">
      <c r="A72" s="93" t="s">
        <v>219</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10.0</v>
      </c>
      <c r="D5" s="18"/>
      <c r="E5" s="18"/>
      <c r="F5" s="18"/>
      <c r="G5" s="21"/>
    </row>
    <row r="6" ht="15.75" customHeight="1">
      <c r="B6" s="88" t="s">
        <v>26</v>
      </c>
      <c r="C6" s="15">
        <f>H10+H21+H44+H68</f>
        <v>110</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245</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246</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247</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108</v>
      </c>
      <c r="C23" s="18"/>
      <c r="D23" s="18"/>
      <c r="E23" s="18"/>
      <c r="F23" s="18"/>
      <c r="G23" s="18"/>
      <c r="H23" s="21"/>
    </row>
    <row r="24" ht="15.75" customHeight="1">
      <c r="A24" s="49" t="s">
        <v>183</v>
      </c>
      <c r="B24" s="51" t="s">
        <v>38</v>
      </c>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IFERROR(__xludf.DUMMYFUNCTION("FILTER('Diseño'!D:D,'Diseño'!H:H=$C$5)"),"Visuales 3D")</f>
        <v>Visuales 3D</v>
      </c>
      <c r="C28" s="21"/>
      <c r="D28" s="15" t="str">
        <f>IFERROR(__xludf.DUMMYFUNCTION("FILTER('Diseño'!E:E,'Diseño'!H:H=$C$5)"),"Modelado 3D")</f>
        <v>Modelado 3D</v>
      </c>
      <c r="E28" s="21"/>
      <c r="F28" s="51" t="s">
        <v>249</v>
      </c>
      <c r="G28" s="18"/>
      <c r="H28" s="21"/>
    </row>
    <row r="29" ht="15.75" customHeight="1">
      <c r="A29" s="24">
        <v>2.0</v>
      </c>
      <c r="B29" s="15" t="str">
        <f>IFERROR(__xludf.DUMMYFUNCTION("FILTER('Diseño'!D:D,'Diseño'!H:H=$C$5)"),"Visuales 3D")</f>
        <v>Visuales 3D</v>
      </c>
      <c r="C29" s="21"/>
      <c r="D29" s="15" t="str">
        <f>IFERROR(__xludf.DUMMYFUNCTION("FILTER('Diseño'!E:E,'Diseño'!H:H=$C$5)"),"Modelado 3D")</f>
        <v>Modelado 3D</v>
      </c>
      <c r="E29" s="21"/>
      <c r="F29" s="51" t="s">
        <v>250</v>
      </c>
      <c r="G29" s="18"/>
      <c r="H29" s="21"/>
    </row>
    <row r="30" ht="15.75" customHeight="1">
      <c r="A30" s="24">
        <v>3.0</v>
      </c>
      <c r="B30" s="15" t="str">
        <f>IFERROR(__xludf.DUMMYFUNCTION("FILTER('Diseño'!D:D,'Diseño'!H:H=$C$5)"),"Visuales 3D")</f>
        <v>Visuales 3D</v>
      </c>
      <c r="C30" s="21"/>
      <c r="D30" s="15" t="str">
        <f>IFERROR(__xludf.DUMMYFUNCTION("FILTER('Diseño'!E:E,'Diseño'!H:H=$C$5)"),"Modelado 3D")</f>
        <v>Modelado 3D</v>
      </c>
      <c r="E30" s="21"/>
      <c r="F30" s="51" t="s">
        <v>252</v>
      </c>
      <c r="G30" s="18"/>
      <c r="H30" s="21"/>
    </row>
    <row r="31" ht="15.75" customHeight="1">
      <c r="A31" s="24">
        <v>4.0</v>
      </c>
      <c r="B31" s="15" t="str">
        <f>IFERROR(__xludf.DUMMYFUNCTION("FILTER('Diseño'!D:D,'Diseño'!H:H=$C$5)"),"Visuales 3D")</f>
        <v>Visuales 3D</v>
      </c>
      <c r="C31" s="21"/>
      <c r="D31" s="15" t="str">
        <f>IFERROR(__xludf.DUMMYFUNCTION("FILTER('Diseño'!E:E,'Diseño'!H:H=$C$5)"),"Modelado 3D")</f>
        <v>Modelado 3D</v>
      </c>
      <c r="E31" s="21"/>
      <c r="F31" s="51" t="s">
        <v>253</v>
      </c>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25.0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40</v>
      </c>
    </row>
    <row r="45" ht="15.75" customHeight="1">
      <c r="G45" s="43" t="s">
        <v>204</v>
      </c>
    </row>
    <row r="46" ht="15.75" customHeight="1">
      <c r="A46" s="43" t="s">
        <v>205</v>
      </c>
    </row>
    <row r="47">
      <c r="A47" s="49" t="s">
        <v>206</v>
      </c>
      <c r="B47" s="51" t="s">
        <v>27</v>
      </c>
      <c r="C47" s="18"/>
      <c r="D47" s="18"/>
      <c r="E47" s="18"/>
      <c r="F47" s="18"/>
      <c r="G47" s="18"/>
      <c r="H47" s="21"/>
    </row>
    <row r="48" ht="15.75" customHeight="1">
      <c r="A48" s="49" t="s">
        <v>12</v>
      </c>
      <c r="B48" s="51" t="s">
        <v>207</v>
      </c>
      <c r="C48" s="18"/>
      <c r="D48" s="18"/>
      <c r="E48" s="18"/>
      <c r="F48" s="18"/>
      <c r="G48" s="18"/>
      <c r="H48" s="21"/>
    </row>
    <row r="49" ht="15.75" customHeight="1">
      <c r="A49" s="49" t="s">
        <v>166</v>
      </c>
      <c r="B49" s="100"/>
      <c r="C49" s="18"/>
      <c r="D49" s="18"/>
      <c r="E49" s="18"/>
      <c r="F49" s="18"/>
      <c r="G49" s="18"/>
      <c r="H49" s="21"/>
    </row>
    <row r="50" ht="15.75" customHeight="1">
      <c r="A50" s="49" t="s">
        <v>43</v>
      </c>
      <c r="B50" s="51">
        <v>40.0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235</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5</v>
      </c>
    </row>
    <row r="69" ht="15.75" customHeight="1">
      <c r="G69" s="43" t="s">
        <v>216</v>
      </c>
    </row>
    <row r="70" ht="15.75" customHeight="1">
      <c r="A70" s="49" t="s">
        <v>43</v>
      </c>
      <c r="B70" s="104">
        <v>5.0</v>
      </c>
      <c r="C70" s="18"/>
      <c r="D70" s="18"/>
      <c r="E70" s="18"/>
      <c r="F70" s="18"/>
      <c r="G70" s="18"/>
      <c r="H70" s="21"/>
    </row>
    <row r="71" ht="15.75" customHeight="1">
      <c r="A71" s="98" t="s">
        <v>218</v>
      </c>
      <c r="B71" s="18"/>
      <c r="C71" s="18"/>
      <c r="D71" s="18"/>
      <c r="E71" s="18"/>
      <c r="F71" s="18"/>
      <c r="G71" s="18"/>
      <c r="H71" s="21"/>
    </row>
    <row r="72" ht="15.75" customHeight="1">
      <c r="A72" s="93" t="s">
        <v>219</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6" t="s">
        <v>165</v>
      </c>
    </row>
    <row r="3" ht="15.75" customHeight="1"/>
    <row r="4" ht="15.75" customHeight="1">
      <c r="B4" s="8" t="s">
        <v>3</v>
      </c>
      <c r="C4" s="87" t="str">
        <f>'Diseño'!C4</f>
        <v>720 - Modelación y Simulación 2</v>
      </c>
      <c r="D4" s="18"/>
      <c r="E4" s="18"/>
      <c r="F4" s="18"/>
      <c r="G4" s="21"/>
    </row>
    <row r="5" ht="15.75" customHeight="1">
      <c r="B5" s="24" t="s">
        <v>18</v>
      </c>
      <c r="C5" s="15">
        <v>11.0</v>
      </c>
      <c r="D5" s="18"/>
      <c r="E5" s="18"/>
      <c r="F5" s="18"/>
      <c r="G5" s="21"/>
    </row>
    <row r="6" ht="15.75" customHeight="1">
      <c r="B6" s="88" t="s">
        <v>26</v>
      </c>
      <c r="C6" s="15">
        <f>H10+H21+H44+H68</f>
        <v>110</v>
      </c>
      <c r="D6" s="18"/>
      <c r="E6" s="18"/>
      <c r="F6" s="18"/>
      <c r="G6" s="21"/>
      <c r="I6" s="11"/>
    </row>
    <row r="7" ht="15.75" customHeight="1">
      <c r="B7" s="88" t="s">
        <v>166</v>
      </c>
      <c r="C7" s="15">
        <f>B49+B60</f>
        <v>0</v>
      </c>
      <c r="D7" s="18"/>
      <c r="E7" s="18"/>
      <c r="F7" s="18"/>
      <c r="G7" s="21"/>
    </row>
    <row r="8" ht="15.75" customHeight="1">
      <c r="B8" s="88" t="s">
        <v>167</v>
      </c>
      <c r="C8" s="89"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21"/>
      <c r="I8" s="11"/>
      <c r="J8" s="11"/>
      <c r="K8" s="11"/>
    </row>
    <row r="9" ht="15.75" customHeight="1"/>
    <row r="10" ht="15.75" customHeight="1">
      <c r="A10" s="90" t="s">
        <v>168</v>
      </c>
      <c r="G10" s="76" t="s">
        <v>43</v>
      </c>
      <c r="H10" s="91">
        <f>B13</f>
        <v>5</v>
      </c>
    </row>
    <row r="11" ht="15.75" customHeight="1">
      <c r="G11" s="43" t="s">
        <v>169</v>
      </c>
    </row>
    <row r="12" ht="15.75" customHeight="1">
      <c r="A12" s="49" t="s">
        <v>170</v>
      </c>
      <c r="B12" s="51" t="s">
        <v>254</v>
      </c>
      <c r="C12" s="18"/>
      <c r="D12" s="18"/>
      <c r="E12" s="18"/>
      <c r="F12" s="18"/>
      <c r="G12" s="18"/>
      <c r="H12" s="21"/>
    </row>
    <row r="13" ht="15.75" customHeight="1">
      <c r="A13" s="53" t="s">
        <v>43</v>
      </c>
      <c r="B13" s="51">
        <v>5.0</v>
      </c>
      <c r="C13" s="18"/>
      <c r="D13" s="18"/>
      <c r="E13" s="18"/>
      <c r="F13" s="18"/>
      <c r="G13" s="18"/>
      <c r="H13" s="21"/>
    </row>
    <row r="14" ht="15.75" customHeight="1">
      <c r="A14" s="92" t="s">
        <v>174</v>
      </c>
      <c r="B14" s="18"/>
      <c r="C14" s="18"/>
      <c r="D14" s="18"/>
      <c r="E14" s="18"/>
      <c r="F14" s="18"/>
      <c r="G14" s="18"/>
      <c r="H14" s="21"/>
    </row>
    <row r="15" ht="15.75" customHeight="1">
      <c r="A15" s="93" t="s">
        <v>255</v>
      </c>
      <c r="B15" s="82"/>
      <c r="C15" s="82"/>
      <c r="D15" s="82"/>
      <c r="E15" s="82"/>
      <c r="F15" s="82"/>
      <c r="G15" s="82"/>
      <c r="H15" s="83"/>
    </row>
    <row r="16" ht="15.75" customHeight="1">
      <c r="A16" s="84"/>
      <c r="B16" s="85"/>
      <c r="C16" s="85"/>
      <c r="D16" s="85"/>
      <c r="E16" s="85"/>
      <c r="F16" s="85"/>
      <c r="G16" s="85"/>
      <c r="H16" s="86"/>
    </row>
    <row r="17" ht="15.75" customHeight="1">
      <c r="A17" s="92" t="s">
        <v>178</v>
      </c>
      <c r="B17" s="18"/>
      <c r="C17" s="18"/>
      <c r="D17" s="18"/>
      <c r="E17" s="18"/>
      <c r="F17" s="18"/>
      <c r="G17" s="18"/>
      <c r="H17" s="21"/>
    </row>
    <row r="18" ht="15.75" customHeight="1">
      <c r="A18" s="93" t="s">
        <v>255</v>
      </c>
      <c r="B18" s="82"/>
      <c r="C18" s="82"/>
      <c r="D18" s="82"/>
      <c r="E18" s="82"/>
      <c r="F18" s="82"/>
      <c r="G18" s="82"/>
      <c r="H18" s="83"/>
    </row>
    <row r="19" ht="15.75" customHeight="1">
      <c r="A19" s="84"/>
      <c r="B19" s="85"/>
      <c r="C19" s="85"/>
      <c r="D19" s="85"/>
      <c r="E19" s="85"/>
      <c r="F19" s="85"/>
      <c r="G19" s="85"/>
      <c r="H19" s="86"/>
    </row>
    <row r="20" ht="15.75" customHeight="1"/>
    <row r="21" ht="15.75" customHeight="1">
      <c r="A21" s="90" t="s">
        <v>180</v>
      </c>
      <c r="G21" s="76" t="s">
        <v>43</v>
      </c>
      <c r="H21" s="91">
        <f>SUM(D39:H42)</f>
        <v>60</v>
      </c>
      <c r="I21" s="11"/>
    </row>
    <row r="22" ht="15.75" customHeight="1">
      <c r="G22" s="43" t="s">
        <v>182</v>
      </c>
    </row>
    <row r="23" ht="15.75" customHeight="1">
      <c r="A23" s="49" t="s">
        <v>183</v>
      </c>
      <c r="B23" s="51" t="s">
        <v>108</v>
      </c>
      <c r="C23" s="18"/>
      <c r="D23" s="18"/>
      <c r="E23" s="18"/>
      <c r="F23" s="18"/>
      <c r="G23" s="18"/>
      <c r="H23" s="21"/>
    </row>
    <row r="24" ht="15.75" customHeight="1">
      <c r="A24" s="49" t="s">
        <v>183</v>
      </c>
      <c r="B24" s="15"/>
      <c r="C24" s="18"/>
      <c r="D24" s="18"/>
      <c r="E24" s="18"/>
      <c r="F24" s="18"/>
      <c r="G24" s="18"/>
      <c r="H24" s="21"/>
    </row>
    <row r="25" ht="15.75" customHeight="1"/>
    <row r="26" ht="15.75" customHeight="1">
      <c r="A26" s="94" t="s">
        <v>185</v>
      </c>
      <c r="B26" s="11"/>
      <c r="C26" s="11"/>
      <c r="D26" s="11"/>
    </row>
    <row r="27" ht="15.75" customHeight="1">
      <c r="A27" s="95" t="s">
        <v>11</v>
      </c>
      <c r="B27" s="96" t="s">
        <v>186</v>
      </c>
      <c r="C27" s="21"/>
      <c r="D27" s="96" t="s">
        <v>187</v>
      </c>
      <c r="E27" s="21"/>
      <c r="F27" s="96" t="s">
        <v>188</v>
      </c>
      <c r="G27" s="18"/>
      <c r="H27" s="21"/>
    </row>
    <row r="28" ht="15.75" customHeight="1">
      <c r="A28" s="24">
        <v>1.0</v>
      </c>
      <c r="B28" s="15" t="str">
        <f>IFERROR(__xludf.DUMMYFUNCTION("FILTER('Diseño'!D:D,'Diseño'!H:H=$C$5)"),"Libreria Extras")</f>
        <v>Libreria Extras</v>
      </c>
      <c r="C28" s="21"/>
      <c r="D28" s="15" t="str">
        <f>IFERROR(__xludf.DUMMYFUNCTION("FILTER('Diseño'!E:E,'Diseño'!H:H=$C$5)"),"Libreria extra de Simio")</f>
        <v>Libreria extra de Simio</v>
      </c>
      <c r="E28" s="21"/>
      <c r="F28" s="15" t="str">
        <f>IFERROR(__xludf.DUMMYFUNCTION("FILTER('Diseño'!F:F,'Diseño'!H:H=$C$5)"),"Introduccion a libreria extra de Simio")</f>
        <v>Introduccion a libreria extra de Simio</v>
      </c>
      <c r="G28" s="18"/>
      <c r="H28" s="21"/>
    </row>
    <row r="29" ht="15.75" customHeight="1">
      <c r="A29" s="24">
        <v>2.0</v>
      </c>
      <c r="B29" s="15" t="str">
        <f>IFERROR(__xludf.DUMMYFUNCTION("""COMPUTED_VALUE"""),"Libreria Extras")</f>
        <v>Libreria Extras</v>
      </c>
      <c r="C29" s="21"/>
      <c r="D29" s="15" t="str">
        <f>IFERROR(__xludf.DUMMYFUNCTION("""COMPUTED_VALUE"""),"Libreria extra de Simio")</f>
        <v>Libreria extra de Simio</v>
      </c>
      <c r="E29" s="21"/>
      <c r="F29" s="15" t="str">
        <f>IFERROR(__xludf.DUMMYFUNCTION("""COMPUTED_VALUE"""),"Explicacion de los componentes de la libreria extra")</f>
        <v>Explicacion de los componentes de la libreria extra</v>
      </c>
      <c r="G29" s="18"/>
      <c r="H29" s="21"/>
    </row>
    <row r="30" ht="15.75" customHeight="1">
      <c r="A30" s="24">
        <v>3.0</v>
      </c>
      <c r="B30" s="15" t="str">
        <f>IFERROR(__xludf.DUMMYFUNCTION("""COMPUTED_VALUE"""),"Libreria Extras")</f>
        <v>Libreria Extras</v>
      </c>
      <c r="C30" s="21"/>
      <c r="D30" s="15" t="str">
        <f>IFERROR(__xludf.DUMMYFUNCTION("""COMPUTED_VALUE"""),"Libreria extra de Simio")</f>
        <v>Libreria extra de Simio</v>
      </c>
      <c r="E30" s="21"/>
      <c r="F30" s="15" t="str">
        <f>IFERROR(__xludf.DUMMYFUNCTION("""COMPUTED_VALUE"""),"Como aplicar los componentes de la libreria extra")</f>
        <v>Como aplicar los componentes de la libreria extra</v>
      </c>
      <c r="G30" s="18"/>
      <c r="H30" s="21"/>
    </row>
    <row r="31" ht="15.75" customHeight="1">
      <c r="A31" s="24">
        <v>4.0</v>
      </c>
      <c r="B31" s="15"/>
      <c r="C31" s="21"/>
      <c r="D31" s="15"/>
      <c r="E31" s="21"/>
      <c r="F31" s="15"/>
      <c r="G31" s="18"/>
      <c r="H31" s="21"/>
    </row>
    <row r="32" ht="15.75" customHeight="1">
      <c r="A32" s="24">
        <v>5.0</v>
      </c>
      <c r="B32" s="15"/>
      <c r="C32" s="21"/>
      <c r="D32" s="15"/>
      <c r="E32" s="21"/>
      <c r="F32" s="15"/>
      <c r="G32" s="18"/>
      <c r="H32" s="21"/>
    </row>
    <row r="33" ht="15.75" customHeight="1">
      <c r="A33" s="24">
        <v>6.0</v>
      </c>
      <c r="B33" s="15"/>
      <c r="C33" s="21"/>
      <c r="D33" s="15"/>
      <c r="E33" s="21"/>
      <c r="F33" s="15"/>
      <c r="G33" s="18"/>
      <c r="H33" s="21"/>
    </row>
    <row r="34" ht="15.75" customHeight="1">
      <c r="A34" s="24">
        <v>7.0</v>
      </c>
      <c r="B34" s="15"/>
      <c r="C34" s="21"/>
      <c r="D34" s="15"/>
      <c r="E34" s="21"/>
      <c r="F34" s="15"/>
      <c r="G34" s="18"/>
      <c r="H34" s="21"/>
    </row>
    <row r="35" ht="15.75" customHeight="1"/>
    <row r="36" ht="15.75" customHeight="1">
      <c r="A36" s="94" t="s">
        <v>193</v>
      </c>
    </row>
    <row r="37" ht="15.75" customHeight="1">
      <c r="A37" s="11"/>
      <c r="B37" s="11"/>
      <c r="C37" s="11"/>
      <c r="D37" s="11"/>
      <c r="E37" s="11"/>
      <c r="F37" s="11"/>
      <c r="G37" s="11"/>
      <c r="H37" s="11"/>
    </row>
    <row r="38">
      <c r="A38" s="95" t="s">
        <v>194</v>
      </c>
      <c r="B38" s="95" t="s">
        <v>78</v>
      </c>
      <c r="C38" s="97" t="s">
        <v>195</v>
      </c>
      <c r="D38" s="98" t="s">
        <v>196</v>
      </c>
      <c r="E38" s="18"/>
      <c r="F38" s="18"/>
      <c r="G38" s="18"/>
      <c r="H38" s="21"/>
      <c r="I38" s="99" t="s">
        <v>104</v>
      </c>
    </row>
    <row r="39" ht="15.75" customHeight="1">
      <c r="A39" s="24" t="s">
        <v>197</v>
      </c>
      <c r="B39" s="24" t="s">
        <v>198</v>
      </c>
      <c r="C39" s="24">
        <v>30.0</v>
      </c>
      <c r="D39" s="51">
        <v>15.0</v>
      </c>
      <c r="E39" s="18"/>
      <c r="F39" s="18"/>
      <c r="G39" s="18"/>
      <c r="H39" s="21"/>
      <c r="I39" s="24" t="str">
        <f t="shared" ref="I39:I42" si="1">IF(D39&lt;=C39,"Correcto", "Corregir")</f>
        <v>Correcto</v>
      </c>
    </row>
    <row r="40" ht="15.75" customHeight="1">
      <c r="A40" s="24" t="s">
        <v>199</v>
      </c>
      <c r="B40" s="24" t="s">
        <v>198</v>
      </c>
      <c r="C40" s="24">
        <v>6.0</v>
      </c>
      <c r="D40" s="51">
        <v>5.0</v>
      </c>
      <c r="E40" s="18"/>
      <c r="F40" s="18"/>
      <c r="G40" s="18"/>
      <c r="H40" s="21"/>
      <c r="I40" s="24" t="str">
        <f t="shared" si="1"/>
        <v>Correcto</v>
      </c>
    </row>
    <row r="41" ht="15.75" customHeight="1">
      <c r="A41" s="24" t="s">
        <v>200</v>
      </c>
      <c r="B41" s="24" t="s">
        <v>201</v>
      </c>
      <c r="C41" s="24">
        <v>10.0</v>
      </c>
      <c r="D41" s="51">
        <v>10.0</v>
      </c>
      <c r="E41" s="18"/>
      <c r="F41" s="18"/>
      <c r="G41" s="18"/>
      <c r="H41" s="21"/>
      <c r="I41" s="24" t="str">
        <f t="shared" si="1"/>
        <v>Correcto</v>
      </c>
    </row>
    <row r="42" ht="15.75" customHeight="1">
      <c r="A42" s="24" t="s">
        <v>202</v>
      </c>
      <c r="B42" s="24" t="s">
        <v>198</v>
      </c>
      <c r="C42" s="24">
        <v>30.0</v>
      </c>
      <c r="D42" s="51">
        <v>30.0</v>
      </c>
      <c r="E42" s="18"/>
      <c r="F42" s="18"/>
      <c r="G42" s="18"/>
      <c r="H42" s="21"/>
      <c r="I42" s="24" t="str">
        <f t="shared" si="1"/>
        <v>Correcto</v>
      </c>
    </row>
    <row r="43" ht="15.75" customHeight="1"/>
    <row r="44" ht="15.75" customHeight="1">
      <c r="A44" s="90" t="s">
        <v>203</v>
      </c>
      <c r="G44" s="76" t="s">
        <v>43</v>
      </c>
      <c r="H44" s="91">
        <f>B50</f>
        <v>35</v>
      </c>
    </row>
    <row r="45" ht="15.75" customHeight="1">
      <c r="G45" s="43" t="s">
        <v>204</v>
      </c>
    </row>
    <row r="46" ht="15.75" customHeight="1">
      <c r="A46" s="43" t="s">
        <v>205</v>
      </c>
    </row>
    <row r="47">
      <c r="A47" s="49" t="s">
        <v>206</v>
      </c>
      <c r="B47" s="51" t="s">
        <v>108</v>
      </c>
      <c r="C47" s="18"/>
      <c r="D47" s="18"/>
      <c r="E47" s="18"/>
      <c r="F47" s="18"/>
      <c r="G47" s="18"/>
      <c r="H47" s="21"/>
    </row>
    <row r="48" ht="15.75" customHeight="1">
      <c r="A48" s="49" t="s">
        <v>12</v>
      </c>
      <c r="B48" s="51" t="s">
        <v>207</v>
      </c>
      <c r="C48" s="18"/>
      <c r="D48" s="18"/>
      <c r="E48" s="18"/>
      <c r="F48" s="18"/>
      <c r="G48" s="18"/>
      <c r="H48" s="21"/>
    </row>
    <row r="49" ht="15.75" customHeight="1">
      <c r="A49" s="49" t="s">
        <v>166</v>
      </c>
      <c r="B49" s="100">
        <v>0.0</v>
      </c>
      <c r="C49" s="18"/>
      <c r="D49" s="18"/>
      <c r="E49" s="18"/>
      <c r="F49" s="18"/>
      <c r="G49" s="18"/>
      <c r="H49" s="21"/>
    </row>
    <row r="50" ht="15.75" customHeight="1">
      <c r="A50" s="49" t="s">
        <v>43</v>
      </c>
      <c r="B50" s="51">
        <v>35.0</v>
      </c>
      <c r="C50" s="18"/>
      <c r="D50" s="18"/>
      <c r="E50" s="18"/>
      <c r="F50" s="18"/>
      <c r="G50" s="18"/>
      <c r="H50" s="21"/>
    </row>
    <row r="51" ht="15.75" customHeight="1">
      <c r="A51" s="101" t="s">
        <v>208</v>
      </c>
      <c r="B51" s="11"/>
      <c r="C51" s="11"/>
      <c r="D51" s="11"/>
      <c r="E51" s="11"/>
      <c r="F51" s="11"/>
      <c r="G51" s="11"/>
      <c r="H51" s="11"/>
    </row>
    <row r="52" ht="15.75" customHeight="1">
      <c r="A52" s="92" t="s">
        <v>209</v>
      </c>
      <c r="B52" s="18"/>
      <c r="C52" s="18"/>
      <c r="D52" s="18"/>
      <c r="E52" s="18"/>
      <c r="F52" s="18"/>
      <c r="G52" s="18"/>
      <c r="H52" s="21"/>
    </row>
    <row r="53" ht="15.75" customHeight="1">
      <c r="A53" s="93" t="s">
        <v>267</v>
      </c>
      <c r="B53" s="82"/>
      <c r="C53" s="82"/>
      <c r="D53" s="82"/>
      <c r="E53" s="82"/>
      <c r="F53" s="82"/>
      <c r="G53" s="82"/>
      <c r="H53" s="83"/>
    </row>
    <row r="54" ht="15.75" customHeight="1">
      <c r="A54" s="102"/>
      <c r="H54" s="103"/>
    </row>
    <row r="55" ht="15.75" customHeight="1">
      <c r="A55" s="84"/>
      <c r="B55" s="85"/>
      <c r="C55" s="85"/>
      <c r="D55" s="85"/>
      <c r="E55" s="85"/>
      <c r="F55" s="85"/>
      <c r="G55" s="85"/>
      <c r="H55" s="86"/>
    </row>
    <row r="56" ht="15.75" customHeight="1"/>
    <row r="57" ht="15.75" customHeight="1">
      <c r="A57" s="43" t="s">
        <v>212</v>
      </c>
    </row>
    <row r="58">
      <c r="A58" s="49" t="s">
        <v>206</v>
      </c>
      <c r="B58" s="15"/>
      <c r="C58" s="18"/>
      <c r="D58" s="18"/>
      <c r="E58" s="18"/>
      <c r="F58" s="18"/>
      <c r="G58" s="18"/>
      <c r="H58" s="21"/>
    </row>
    <row r="59" ht="15.75" customHeight="1">
      <c r="A59" s="49" t="s">
        <v>12</v>
      </c>
      <c r="B59" s="15"/>
      <c r="C59" s="18"/>
      <c r="D59" s="18"/>
      <c r="E59" s="18"/>
      <c r="F59" s="18"/>
      <c r="G59" s="18"/>
      <c r="H59" s="21"/>
    </row>
    <row r="60" ht="15.75" customHeight="1">
      <c r="A60" s="49" t="s">
        <v>166</v>
      </c>
      <c r="B60" s="100"/>
      <c r="C60" s="18"/>
      <c r="D60" s="18"/>
      <c r="E60" s="18"/>
      <c r="F60" s="18"/>
      <c r="G60" s="18"/>
      <c r="H60" s="21"/>
    </row>
    <row r="61" ht="15.75" customHeight="1">
      <c r="A61" s="49" t="s">
        <v>43</v>
      </c>
      <c r="B61" s="100"/>
      <c r="C61" s="18"/>
      <c r="D61" s="18"/>
      <c r="E61" s="18"/>
      <c r="F61" s="18"/>
      <c r="G61" s="18"/>
      <c r="H61" s="21"/>
    </row>
    <row r="62" ht="15.75" customHeight="1">
      <c r="A62" s="105" t="s">
        <v>214</v>
      </c>
      <c r="B62" s="11"/>
      <c r="C62" s="11"/>
      <c r="D62" s="11"/>
      <c r="E62" s="11"/>
      <c r="F62" s="11"/>
      <c r="G62" s="11"/>
      <c r="H62" s="11"/>
    </row>
    <row r="63" ht="15.75" customHeight="1">
      <c r="A63" s="92" t="s">
        <v>209</v>
      </c>
      <c r="B63" s="18"/>
      <c r="C63" s="18"/>
      <c r="D63" s="18"/>
      <c r="E63" s="18"/>
      <c r="F63" s="18"/>
      <c r="G63" s="18"/>
      <c r="H63" s="21"/>
    </row>
    <row r="64" ht="15.75" customHeight="1">
      <c r="A64" s="106"/>
      <c r="B64" s="82"/>
      <c r="C64" s="82"/>
      <c r="D64" s="82"/>
      <c r="E64" s="82"/>
      <c r="F64" s="82"/>
      <c r="G64" s="82"/>
      <c r="H64" s="83"/>
    </row>
    <row r="65" ht="15.75" customHeight="1">
      <c r="A65" s="102"/>
      <c r="H65" s="103"/>
    </row>
    <row r="66" ht="15.75" customHeight="1">
      <c r="A66" s="84"/>
      <c r="B66" s="85"/>
      <c r="C66" s="85"/>
      <c r="D66" s="85"/>
      <c r="E66" s="85"/>
      <c r="F66" s="85"/>
      <c r="G66" s="85"/>
      <c r="H66" s="86"/>
    </row>
    <row r="67" ht="15.75" customHeight="1"/>
    <row r="68" ht="15.75" customHeight="1">
      <c r="A68" s="90" t="s">
        <v>215</v>
      </c>
      <c r="G68" s="76" t="s">
        <v>43</v>
      </c>
      <c r="H68" s="91">
        <f>B70</f>
        <v>10</v>
      </c>
    </row>
    <row r="69" ht="15.75" customHeight="1">
      <c r="G69" s="43" t="s">
        <v>216</v>
      </c>
    </row>
    <row r="70" ht="15.75" customHeight="1">
      <c r="A70" s="49" t="s">
        <v>43</v>
      </c>
      <c r="B70" s="104">
        <v>10.0</v>
      </c>
      <c r="C70" s="18"/>
      <c r="D70" s="18"/>
      <c r="E70" s="18"/>
      <c r="F70" s="18"/>
      <c r="G70" s="18"/>
      <c r="H70" s="21"/>
    </row>
    <row r="71" ht="15.75" customHeight="1">
      <c r="A71" s="98" t="s">
        <v>218</v>
      </c>
      <c r="B71" s="18"/>
      <c r="C71" s="18"/>
      <c r="D71" s="18"/>
      <c r="E71" s="18"/>
      <c r="F71" s="18"/>
      <c r="G71" s="18"/>
      <c r="H71" s="21"/>
    </row>
    <row r="72" ht="15.75" customHeight="1">
      <c r="A72" s="93" t="s">
        <v>219</v>
      </c>
      <c r="B72" s="82"/>
      <c r="C72" s="82"/>
      <c r="D72" s="82"/>
      <c r="E72" s="82"/>
      <c r="F72" s="82"/>
      <c r="G72" s="82"/>
      <c r="H72" s="83"/>
    </row>
    <row r="73" ht="15.75" customHeight="1">
      <c r="A73" s="84"/>
      <c r="B73" s="85"/>
      <c r="C73" s="85"/>
      <c r="D73" s="85"/>
      <c r="E73" s="85"/>
      <c r="F73" s="85"/>
      <c r="G73" s="85"/>
      <c r="H73" s="86"/>
    </row>
    <row r="74" ht="15.75" customHeight="1">
      <c r="A74" s="43" t="s">
        <v>220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09" t="s">
        <v>52</v>
      </c>
    </row>
    <row r="3" ht="15.75" customHeight="1"/>
    <row r="4" ht="15.75" customHeight="1">
      <c r="B4" s="8" t="s">
        <v>3</v>
      </c>
      <c r="C4" s="15" t="str">
        <f>'Diseño'!C4</f>
        <v>720 - Modelación y Simulación 2</v>
      </c>
      <c r="D4" s="18"/>
      <c r="E4" s="18"/>
      <c r="F4" s="18"/>
      <c r="G4" s="21"/>
    </row>
    <row r="5" ht="15.75" customHeight="1">
      <c r="B5" s="88" t="s">
        <v>26</v>
      </c>
      <c r="C5" s="15">
        <f>H9+H26+H43</f>
        <v>110</v>
      </c>
      <c r="D5" s="18"/>
      <c r="E5" s="18"/>
      <c r="F5" s="18"/>
      <c r="G5" s="21"/>
    </row>
    <row r="6" ht="15.75" customHeight="1">
      <c r="B6" s="88" t="s">
        <v>166</v>
      </c>
      <c r="C6" s="15">
        <f>F9+F26+F43</f>
        <v>75</v>
      </c>
      <c r="D6" s="18"/>
      <c r="E6" s="18"/>
      <c r="F6" s="18"/>
      <c r="G6" s="21"/>
    </row>
    <row r="7" ht="15.75" customHeight="1">
      <c r="B7" s="12" t="s">
        <v>256</v>
      </c>
    </row>
    <row r="8" ht="15.75" customHeight="1"/>
    <row r="9" ht="15.75" customHeight="1">
      <c r="A9" s="90" t="s">
        <v>257</v>
      </c>
      <c r="E9" s="76" t="s">
        <v>166</v>
      </c>
      <c r="F9" s="110">
        <v>15.0</v>
      </c>
      <c r="G9" s="76" t="s">
        <v>258</v>
      </c>
      <c r="H9" s="110">
        <v>30.0</v>
      </c>
    </row>
    <row r="10" ht="15.75" customHeight="1">
      <c r="A10" s="12" t="s">
        <v>198</v>
      </c>
    </row>
    <row r="11" ht="15.75" customHeight="1">
      <c r="A11" s="95" t="s">
        <v>183</v>
      </c>
      <c r="B11" s="15"/>
      <c r="C11" s="18"/>
      <c r="D11" s="18"/>
      <c r="E11" s="18"/>
      <c r="F11" s="18"/>
      <c r="G11" s="18"/>
      <c r="H11" s="21"/>
    </row>
    <row r="12" ht="15.75" customHeight="1">
      <c r="A12" s="95" t="s">
        <v>183</v>
      </c>
      <c r="B12" s="15"/>
      <c r="C12" s="18"/>
      <c r="D12" s="18"/>
      <c r="E12" s="18"/>
      <c r="F12" s="18"/>
      <c r="G12" s="18"/>
      <c r="H12" s="21"/>
    </row>
    <row r="13" ht="15.75" customHeight="1">
      <c r="A13" s="95" t="s">
        <v>183</v>
      </c>
      <c r="B13" s="15"/>
      <c r="C13" s="18"/>
      <c r="D13" s="18"/>
      <c r="E13" s="18"/>
      <c r="F13" s="18"/>
      <c r="G13" s="18"/>
      <c r="H13" s="21"/>
    </row>
    <row r="14" ht="15.75" customHeight="1">
      <c r="A14" s="95" t="s">
        <v>259</v>
      </c>
      <c r="B14" s="51" t="s">
        <v>260</v>
      </c>
      <c r="C14" s="18"/>
      <c r="D14" s="18"/>
      <c r="E14" s="18"/>
      <c r="F14" s="18"/>
      <c r="G14" s="18"/>
      <c r="H14" s="21"/>
    </row>
    <row r="15" ht="15.75" customHeight="1">
      <c r="A15" s="92" t="s">
        <v>261</v>
      </c>
      <c r="B15" s="18"/>
      <c r="C15" s="18"/>
      <c r="D15" s="18"/>
      <c r="E15" s="18"/>
      <c r="F15" s="18"/>
      <c r="G15" s="18"/>
      <c r="H15" s="21"/>
    </row>
    <row r="16" ht="15.75" customHeight="1">
      <c r="A16" s="93" t="s">
        <v>262</v>
      </c>
      <c r="B16" s="82"/>
      <c r="C16" s="82"/>
      <c r="D16" s="82"/>
      <c r="E16" s="82"/>
      <c r="F16" s="82"/>
      <c r="G16" s="82"/>
      <c r="H16" s="83"/>
    </row>
    <row r="17" ht="15.75" customHeight="1">
      <c r="A17" s="102"/>
      <c r="H17" s="103"/>
    </row>
    <row r="18" ht="15.75" customHeight="1">
      <c r="A18" s="84"/>
      <c r="B18" s="85"/>
      <c r="C18" s="85"/>
      <c r="D18" s="85"/>
      <c r="E18" s="85"/>
      <c r="F18" s="85"/>
      <c r="G18" s="85"/>
      <c r="H18" s="86"/>
    </row>
    <row r="19" ht="15.75" customHeight="1">
      <c r="A19" s="92" t="s">
        <v>263</v>
      </c>
      <c r="B19" s="18"/>
      <c r="C19" s="18"/>
      <c r="D19" s="18"/>
      <c r="E19" s="18"/>
      <c r="F19" s="18"/>
      <c r="G19" s="18"/>
      <c r="H19" s="21"/>
    </row>
    <row r="20" ht="15.75" customHeight="1">
      <c r="A20" s="111" t="s">
        <v>264</v>
      </c>
      <c r="B20" s="82"/>
      <c r="C20" s="82"/>
      <c r="D20" s="82"/>
      <c r="E20" s="82"/>
      <c r="F20" s="82"/>
      <c r="G20" s="82"/>
      <c r="H20" s="83"/>
    </row>
    <row r="21" ht="15.75" customHeight="1">
      <c r="A21" s="102"/>
      <c r="H21" s="103"/>
    </row>
    <row r="22" ht="15.75" customHeight="1">
      <c r="A22" s="102"/>
      <c r="H22" s="103"/>
    </row>
    <row r="23" ht="15.75" customHeight="1">
      <c r="A23" s="84"/>
      <c r="B23" s="85"/>
      <c r="C23" s="85"/>
      <c r="D23" s="85"/>
      <c r="E23" s="85"/>
      <c r="F23" s="85"/>
      <c r="G23" s="85"/>
      <c r="H23" s="86"/>
    </row>
    <row r="24" ht="15.75" customHeight="1"/>
    <row r="25" ht="15.75" customHeight="1"/>
    <row r="26" ht="15.75" customHeight="1">
      <c r="A26" s="90" t="s">
        <v>265</v>
      </c>
      <c r="E26" s="76" t="s">
        <v>166</v>
      </c>
      <c r="F26" s="110">
        <v>25.0</v>
      </c>
      <c r="G26" s="76" t="s">
        <v>258</v>
      </c>
      <c r="H26" s="110">
        <v>40.0</v>
      </c>
    </row>
    <row r="27" ht="15.75" customHeight="1">
      <c r="A27" s="12" t="s">
        <v>198</v>
      </c>
    </row>
    <row r="28" ht="15.75" customHeight="1">
      <c r="A28" s="95" t="s">
        <v>183</v>
      </c>
      <c r="B28" s="15"/>
      <c r="C28" s="18"/>
      <c r="D28" s="18"/>
      <c r="E28" s="18"/>
      <c r="F28" s="18"/>
      <c r="G28" s="18"/>
      <c r="H28" s="21"/>
    </row>
    <row r="29" ht="15.75" customHeight="1">
      <c r="A29" s="95" t="s">
        <v>183</v>
      </c>
      <c r="B29" s="15"/>
      <c r="C29" s="18"/>
      <c r="D29" s="18"/>
      <c r="E29" s="18"/>
      <c r="F29" s="18"/>
      <c r="G29" s="18"/>
      <c r="H29" s="21"/>
    </row>
    <row r="30" ht="15.75" customHeight="1">
      <c r="A30" s="95" t="s">
        <v>183</v>
      </c>
      <c r="B30" s="15"/>
      <c r="C30" s="18"/>
      <c r="D30" s="18"/>
      <c r="E30" s="18"/>
      <c r="F30" s="18"/>
      <c r="G30" s="18"/>
      <c r="H30" s="21"/>
    </row>
    <row r="31" ht="15.75" customHeight="1">
      <c r="A31" s="95" t="s">
        <v>259</v>
      </c>
      <c r="B31" s="15"/>
      <c r="C31" s="18"/>
      <c r="D31" s="18"/>
      <c r="E31" s="18"/>
      <c r="F31" s="18"/>
      <c r="G31" s="18"/>
      <c r="H31" s="21"/>
    </row>
    <row r="32" ht="15.75" customHeight="1">
      <c r="A32" s="92" t="s">
        <v>261</v>
      </c>
      <c r="B32" s="18"/>
      <c r="C32" s="18"/>
      <c r="D32" s="18"/>
      <c r="E32" s="18"/>
      <c r="F32" s="18"/>
      <c r="G32" s="18"/>
      <c r="H32" s="21"/>
    </row>
    <row r="33" ht="15.75" customHeight="1">
      <c r="A33" s="93" t="s">
        <v>262</v>
      </c>
      <c r="B33" s="82"/>
      <c r="C33" s="82"/>
      <c r="D33" s="82"/>
      <c r="E33" s="82"/>
      <c r="F33" s="82"/>
      <c r="G33" s="82"/>
      <c r="H33" s="83"/>
    </row>
    <row r="34" ht="15.75" customHeight="1">
      <c r="A34" s="102"/>
      <c r="H34" s="103"/>
    </row>
    <row r="35" ht="15.75" customHeight="1">
      <c r="A35" s="84"/>
      <c r="B35" s="85"/>
      <c r="C35" s="85"/>
      <c r="D35" s="85"/>
      <c r="E35" s="85"/>
      <c r="F35" s="85"/>
      <c r="G35" s="85"/>
      <c r="H35" s="86"/>
    </row>
    <row r="36" ht="15.75" customHeight="1">
      <c r="A36" s="92" t="s">
        <v>263</v>
      </c>
      <c r="B36" s="18"/>
      <c r="C36" s="18"/>
      <c r="D36" s="18"/>
      <c r="E36" s="18"/>
      <c r="F36" s="18"/>
      <c r="G36" s="18"/>
      <c r="H36" s="21"/>
    </row>
    <row r="37" ht="15.75" customHeight="1">
      <c r="A37" s="111" t="s">
        <v>266</v>
      </c>
      <c r="B37" s="82"/>
      <c r="C37" s="82"/>
      <c r="D37" s="82"/>
      <c r="E37" s="82"/>
      <c r="F37" s="82"/>
      <c r="G37" s="82"/>
      <c r="H37" s="83"/>
    </row>
    <row r="38" ht="15.75" customHeight="1">
      <c r="A38" s="102"/>
      <c r="H38" s="103"/>
    </row>
    <row r="39" ht="15.75" customHeight="1">
      <c r="A39" s="102"/>
      <c r="H39" s="103"/>
    </row>
    <row r="40" ht="15.75" customHeight="1">
      <c r="A40" s="84"/>
      <c r="B40" s="85"/>
      <c r="C40" s="85"/>
      <c r="D40" s="85"/>
      <c r="E40" s="85"/>
      <c r="F40" s="85"/>
      <c r="G40" s="85"/>
      <c r="H40" s="86"/>
    </row>
    <row r="41" ht="15.75" customHeight="1"/>
    <row r="42" ht="15.75" customHeight="1"/>
    <row r="43" ht="15.75" customHeight="1">
      <c r="A43" s="90" t="s">
        <v>268</v>
      </c>
      <c r="E43" s="76" t="s">
        <v>166</v>
      </c>
      <c r="F43" s="110">
        <v>35.0</v>
      </c>
      <c r="G43" s="76" t="s">
        <v>258</v>
      </c>
      <c r="H43" s="110">
        <v>40.0</v>
      </c>
    </row>
    <row r="44" ht="15.75" customHeight="1">
      <c r="A44" s="101" t="s">
        <v>269</v>
      </c>
    </row>
    <row r="45" ht="15.75" customHeight="1">
      <c r="A45" s="95" t="s">
        <v>183</v>
      </c>
      <c r="B45" s="15"/>
      <c r="C45" s="18"/>
      <c r="D45" s="18"/>
      <c r="E45" s="18"/>
      <c r="F45" s="18"/>
      <c r="G45" s="18"/>
      <c r="H45" s="21"/>
    </row>
    <row r="46" ht="15.75" customHeight="1">
      <c r="A46" s="95" t="s">
        <v>183</v>
      </c>
      <c r="B46" s="15"/>
      <c r="C46" s="18"/>
      <c r="D46" s="18"/>
      <c r="E46" s="18"/>
      <c r="F46" s="18"/>
      <c r="G46" s="18"/>
      <c r="H46" s="21"/>
    </row>
    <row r="47" ht="15.75" customHeight="1">
      <c r="A47" s="95" t="s">
        <v>183</v>
      </c>
      <c r="B47" s="15"/>
      <c r="C47" s="18"/>
      <c r="D47" s="18"/>
      <c r="E47" s="18"/>
      <c r="F47" s="18"/>
      <c r="G47" s="18"/>
      <c r="H47" s="21"/>
    </row>
    <row r="48" ht="15.75" customHeight="1">
      <c r="A48" s="95" t="s">
        <v>259</v>
      </c>
      <c r="B48" s="51" t="s">
        <v>270</v>
      </c>
      <c r="C48" s="18"/>
      <c r="D48" s="18"/>
      <c r="E48" s="18"/>
      <c r="F48" s="18"/>
      <c r="G48" s="18"/>
      <c r="H48" s="21"/>
    </row>
    <row r="49" ht="15.75" customHeight="1">
      <c r="A49" s="92" t="s">
        <v>261</v>
      </c>
      <c r="B49" s="18"/>
      <c r="C49" s="18"/>
      <c r="D49" s="18"/>
      <c r="E49" s="18"/>
      <c r="F49" s="18"/>
      <c r="G49" s="18"/>
      <c r="H49" s="21"/>
    </row>
    <row r="50" ht="15.75" customHeight="1">
      <c r="A50" s="93" t="s">
        <v>262</v>
      </c>
      <c r="B50" s="82"/>
      <c r="C50" s="82"/>
      <c r="D50" s="82"/>
      <c r="E50" s="82"/>
      <c r="F50" s="82"/>
      <c r="G50" s="82"/>
      <c r="H50" s="83"/>
    </row>
    <row r="51" ht="15.75" customHeight="1">
      <c r="A51" s="102"/>
      <c r="H51" s="103"/>
    </row>
    <row r="52" ht="15.75" customHeight="1">
      <c r="A52" s="84"/>
      <c r="B52" s="85"/>
      <c r="C52" s="85"/>
      <c r="D52" s="85"/>
      <c r="E52" s="85"/>
      <c r="F52" s="85"/>
      <c r="G52" s="85"/>
      <c r="H52" s="86"/>
    </row>
    <row r="53" ht="15.75" customHeight="1">
      <c r="A53" s="92" t="s">
        <v>263</v>
      </c>
      <c r="B53" s="18"/>
      <c r="C53" s="18"/>
      <c r="D53" s="18"/>
      <c r="E53" s="18"/>
      <c r="F53" s="18"/>
      <c r="G53" s="18"/>
      <c r="H53" s="21"/>
    </row>
    <row r="54" ht="15.75" customHeight="1">
      <c r="A54" s="111" t="s">
        <v>271</v>
      </c>
      <c r="B54" s="82"/>
      <c r="C54" s="82"/>
      <c r="D54" s="82"/>
      <c r="E54" s="82"/>
      <c r="F54" s="82"/>
      <c r="G54" s="82"/>
      <c r="H54" s="83"/>
    </row>
    <row r="55" ht="15.75" customHeight="1">
      <c r="A55" s="102"/>
      <c r="H55" s="103"/>
    </row>
    <row r="56" ht="15.75" customHeight="1">
      <c r="A56" s="102"/>
      <c r="H56" s="103"/>
    </row>
    <row r="57" ht="15.75" customHeight="1">
      <c r="A57" s="84"/>
      <c r="B57" s="85"/>
      <c r="C57" s="85"/>
      <c r="D57" s="85"/>
      <c r="E57" s="85"/>
      <c r="F57" s="85"/>
      <c r="G57" s="85"/>
      <c r="H57" s="86"/>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28:B30">
      <formula1>Metadata!$I$17:$I$40</formula1>
    </dataValidation>
    <dataValidation type="list" allowBlank="1" showErrorMessage="1" sqref="B11:B13 B45:B47">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09" t="s">
        <v>272</v>
      </c>
    </row>
    <row r="3" ht="15.75" customHeight="1"/>
    <row r="4" ht="15.75" customHeight="1">
      <c r="B4" s="8" t="s">
        <v>3</v>
      </c>
      <c r="C4" s="15" t="str">
        <f>'Diseño'!C4</f>
        <v>720 - Modelación y Simulación 2</v>
      </c>
      <c r="D4" s="18"/>
      <c r="E4" s="18"/>
      <c r="F4" s="18"/>
      <c r="G4" s="21"/>
    </row>
    <row r="5" ht="15.75" customHeight="1">
      <c r="B5" s="88" t="s">
        <v>26</v>
      </c>
      <c r="C5" s="15">
        <f>H9+H26+H43+H60+H77+H94+H111</f>
        <v>0</v>
      </c>
      <c r="D5" s="18"/>
      <c r="E5" s="18"/>
      <c r="F5" s="18"/>
      <c r="G5" s="21"/>
    </row>
    <row r="6" ht="15.75" customHeight="1">
      <c r="B6" s="88" t="s">
        <v>166</v>
      </c>
      <c r="C6" s="15">
        <f>F9+F26+F43+F60+F77+F94+F111</f>
        <v>0</v>
      </c>
      <c r="D6" s="18"/>
      <c r="E6" s="18"/>
      <c r="F6" s="18"/>
      <c r="G6" s="21"/>
    </row>
    <row r="7" ht="15.75" customHeight="1">
      <c r="B7" s="12" t="s">
        <v>273</v>
      </c>
    </row>
    <row r="8" ht="15.75" customHeight="1"/>
    <row r="9" ht="15.75" customHeight="1">
      <c r="A9" s="90" t="s">
        <v>274</v>
      </c>
      <c r="E9" s="76" t="s">
        <v>166</v>
      </c>
      <c r="F9" s="91"/>
      <c r="G9" s="76" t="s">
        <v>258</v>
      </c>
      <c r="H9" s="91"/>
    </row>
    <row r="10" ht="15.75" customHeight="1">
      <c r="A10" s="12" t="s">
        <v>275</v>
      </c>
    </row>
    <row r="11" ht="15.75" customHeight="1">
      <c r="A11" s="95" t="s">
        <v>183</v>
      </c>
      <c r="B11" s="15"/>
      <c r="C11" s="18"/>
      <c r="D11" s="18"/>
      <c r="E11" s="18"/>
      <c r="F11" s="18"/>
      <c r="G11" s="18"/>
      <c r="H11" s="21"/>
    </row>
    <row r="12" ht="15.75" customHeight="1">
      <c r="A12" s="95" t="s">
        <v>183</v>
      </c>
      <c r="B12" s="15"/>
      <c r="C12" s="18"/>
      <c r="D12" s="18"/>
      <c r="E12" s="18"/>
      <c r="F12" s="18"/>
      <c r="G12" s="18"/>
      <c r="H12" s="21"/>
    </row>
    <row r="13" ht="15.75" customHeight="1">
      <c r="A13" s="95" t="s">
        <v>183</v>
      </c>
      <c r="B13" s="15"/>
      <c r="C13" s="18"/>
      <c r="D13" s="18"/>
      <c r="E13" s="18"/>
      <c r="F13" s="18"/>
      <c r="G13" s="18"/>
      <c r="H13" s="21"/>
    </row>
    <row r="14" ht="15.75" customHeight="1">
      <c r="A14" s="95" t="s">
        <v>259</v>
      </c>
      <c r="B14" s="15"/>
      <c r="C14" s="18"/>
      <c r="D14" s="18"/>
      <c r="E14" s="18"/>
      <c r="F14" s="18"/>
      <c r="G14" s="18"/>
      <c r="H14" s="21"/>
    </row>
    <row r="15" ht="15.75" customHeight="1">
      <c r="A15" s="92" t="s">
        <v>261</v>
      </c>
      <c r="B15" s="18"/>
      <c r="C15" s="18"/>
      <c r="D15" s="18"/>
      <c r="E15" s="18"/>
      <c r="F15" s="18"/>
      <c r="G15" s="18"/>
      <c r="H15" s="21"/>
    </row>
    <row r="16" ht="15.75" customHeight="1">
      <c r="A16" s="106"/>
      <c r="B16" s="82"/>
      <c r="C16" s="82"/>
      <c r="D16" s="82"/>
      <c r="E16" s="82"/>
      <c r="F16" s="82"/>
      <c r="G16" s="82"/>
      <c r="H16" s="83"/>
    </row>
    <row r="17" ht="15.75" customHeight="1">
      <c r="A17" s="102"/>
      <c r="H17" s="103"/>
    </row>
    <row r="18" ht="15.75" customHeight="1">
      <c r="A18" s="84"/>
      <c r="B18" s="85"/>
      <c r="C18" s="85"/>
      <c r="D18" s="85"/>
      <c r="E18" s="85"/>
      <c r="F18" s="85"/>
      <c r="G18" s="85"/>
      <c r="H18" s="86"/>
    </row>
    <row r="19" ht="15.75" customHeight="1">
      <c r="A19" s="92" t="s">
        <v>263</v>
      </c>
      <c r="B19" s="18"/>
      <c r="C19" s="18"/>
      <c r="D19" s="18"/>
      <c r="E19" s="18"/>
      <c r="F19" s="18"/>
      <c r="G19" s="18"/>
      <c r="H19" s="21"/>
    </row>
    <row r="20" ht="15.75" customHeight="1">
      <c r="A20" s="106"/>
      <c r="B20" s="82"/>
      <c r="C20" s="82"/>
      <c r="D20" s="82"/>
      <c r="E20" s="82"/>
      <c r="F20" s="82"/>
      <c r="G20" s="82"/>
      <c r="H20" s="83"/>
    </row>
    <row r="21" ht="15.75" customHeight="1">
      <c r="A21" s="102"/>
      <c r="H21" s="103"/>
    </row>
    <row r="22" ht="15.75" customHeight="1">
      <c r="A22" s="102"/>
      <c r="H22" s="103"/>
    </row>
    <row r="23" ht="15.75" customHeight="1">
      <c r="A23" s="84"/>
      <c r="B23" s="85"/>
      <c r="C23" s="85"/>
      <c r="D23" s="85"/>
      <c r="E23" s="85"/>
      <c r="F23" s="85"/>
      <c r="G23" s="85"/>
      <c r="H23" s="86"/>
    </row>
    <row r="24" ht="15.75" customHeight="1"/>
    <row r="25" ht="15.75" customHeight="1"/>
    <row r="26" ht="15.75" customHeight="1">
      <c r="A26" s="90" t="s">
        <v>276</v>
      </c>
      <c r="E26" s="76" t="s">
        <v>166</v>
      </c>
      <c r="F26" s="91"/>
      <c r="G26" s="76" t="s">
        <v>258</v>
      </c>
      <c r="H26" s="91"/>
    </row>
    <row r="27" ht="15.75" customHeight="1">
      <c r="A27" s="101" t="s">
        <v>269</v>
      </c>
    </row>
    <row r="28" ht="15.75" customHeight="1">
      <c r="A28" s="95" t="s">
        <v>183</v>
      </c>
      <c r="B28" s="15"/>
      <c r="C28" s="18"/>
      <c r="D28" s="18"/>
      <c r="E28" s="18"/>
      <c r="F28" s="18"/>
      <c r="G28" s="18"/>
      <c r="H28" s="21"/>
    </row>
    <row r="29" ht="15.75" customHeight="1">
      <c r="A29" s="95" t="s">
        <v>183</v>
      </c>
      <c r="B29" s="15"/>
      <c r="C29" s="18"/>
      <c r="D29" s="18"/>
      <c r="E29" s="18"/>
      <c r="F29" s="18"/>
      <c r="G29" s="18"/>
      <c r="H29" s="21"/>
    </row>
    <row r="30" ht="15.75" customHeight="1">
      <c r="A30" s="95" t="s">
        <v>183</v>
      </c>
      <c r="B30" s="15"/>
      <c r="C30" s="18"/>
      <c r="D30" s="18"/>
      <c r="E30" s="18"/>
      <c r="F30" s="18"/>
      <c r="G30" s="18"/>
      <c r="H30" s="21"/>
    </row>
    <row r="31" ht="15.75" customHeight="1">
      <c r="A31" s="95" t="s">
        <v>259</v>
      </c>
      <c r="B31" s="15"/>
      <c r="C31" s="18"/>
      <c r="D31" s="18"/>
      <c r="E31" s="18"/>
      <c r="F31" s="18"/>
      <c r="G31" s="18"/>
      <c r="H31" s="21"/>
    </row>
    <row r="32" ht="15.75" customHeight="1">
      <c r="A32" s="92" t="s">
        <v>261</v>
      </c>
      <c r="B32" s="18"/>
      <c r="C32" s="18"/>
      <c r="D32" s="18"/>
      <c r="E32" s="18"/>
      <c r="F32" s="18"/>
      <c r="G32" s="18"/>
      <c r="H32" s="21"/>
    </row>
    <row r="33" ht="15.75" customHeight="1">
      <c r="A33" s="106"/>
      <c r="B33" s="82"/>
      <c r="C33" s="82"/>
      <c r="D33" s="82"/>
      <c r="E33" s="82"/>
      <c r="F33" s="82"/>
      <c r="G33" s="82"/>
      <c r="H33" s="83"/>
    </row>
    <row r="34" ht="15.75" customHeight="1">
      <c r="A34" s="102"/>
      <c r="H34" s="103"/>
    </row>
    <row r="35" ht="15.75" customHeight="1">
      <c r="A35" s="84"/>
      <c r="B35" s="85"/>
      <c r="C35" s="85"/>
      <c r="D35" s="85"/>
      <c r="E35" s="85"/>
      <c r="F35" s="85"/>
      <c r="G35" s="85"/>
      <c r="H35" s="86"/>
    </row>
    <row r="36" ht="15.75" customHeight="1">
      <c r="A36" s="92" t="s">
        <v>263</v>
      </c>
      <c r="B36" s="18"/>
      <c r="C36" s="18"/>
      <c r="D36" s="18"/>
      <c r="E36" s="18"/>
      <c r="F36" s="18"/>
      <c r="G36" s="18"/>
      <c r="H36" s="21"/>
    </row>
    <row r="37" ht="15.75" customHeight="1">
      <c r="A37" s="106"/>
      <c r="B37" s="82"/>
      <c r="C37" s="82"/>
      <c r="D37" s="82"/>
      <c r="E37" s="82"/>
      <c r="F37" s="82"/>
      <c r="G37" s="82"/>
      <c r="H37" s="83"/>
    </row>
    <row r="38" ht="15.75" customHeight="1">
      <c r="A38" s="102"/>
      <c r="H38" s="103"/>
    </row>
    <row r="39" ht="15.75" customHeight="1">
      <c r="A39" s="102"/>
      <c r="H39" s="103"/>
    </row>
    <row r="40" ht="15.75" customHeight="1">
      <c r="A40" s="84"/>
      <c r="B40" s="85"/>
      <c r="C40" s="85"/>
      <c r="D40" s="85"/>
      <c r="E40" s="85"/>
      <c r="F40" s="85"/>
      <c r="G40" s="85"/>
      <c r="H40" s="86"/>
    </row>
    <row r="41" ht="15.75" customHeight="1"/>
    <row r="42" ht="15.75" customHeight="1"/>
    <row r="43" ht="15.75" customHeight="1">
      <c r="A43" s="90" t="s">
        <v>277</v>
      </c>
      <c r="E43" s="76" t="s">
        <v>166</v>
      </c>
      <c r="F43" s="91"/>
      <c r="G43" s="76" t="s">
        <v>258</v>
      </c>
      <c r="H43" s="91"/>
    </row>
    <row r="44" ht="15.75" customHeight="1">
      <c r="A44" s="101" t="s">
        <v>269</v>
      </c>
    </row>
    <row r="45" ht="15.75" customHeight="1">
      <c r="A45" s="95" t="s">
        <v>183</v>
      </c>
      <c r="B45" s="15"/>
      <c r="C45" s="18"/>
      <c r="D45" s="18"/>
      <c r="E45" s="18"/>
      <c r="F45" s="18"/>
      <c r="G45" s="18"/>
      <c r="H45" s="21"/>
    </row>
    <row r="46" ht="15.75" customHeight="1">
      <c r="A46" s="95" t="s">
        <v>183</v>
      </c>
      <c r="B46" s="15"/>
      <c r="C46" s="18"/>
      <c r="D46" s="18"/>
      <c r="E46" s="18"/>
      <c r="F46" s="18"/>
      <c r="G46" s="18"/>
      <c r="H46" s="21"/>
    </row>
    <row r="47" ht="15.75" customHeight="1">
      <c r="A47" s="95" t="s">
        <v>183</v>
      </c>
      <c r="B47" s="15"/>
      <c r="C47" s="18"/>
      <c r="D47" s="18"/>
      <c r="E47" s="18"/>
      <c r="F47" s="18"/>
      <c r="G47" s="18"/>
      <c r="H47" s="21"/>
    </row>
    <row r="48" ht="15.75" customHeight="1">
      <c r="A48" s="95" t="s">
        <v>259</v>
      </c>
      <c r="B48" s="15"/>
      <c r="C48" s="18"/>
      <c r="D48" s="18"/>
      <c r="E48" s="18"/>
      <c r="F48" s="18"/>
      <c r="G48" s="18"/>
      <c r="H48" s="21"/>
    </row>
    <row r="49" ht="15.75" customHeight="1">
      <c r="A49" s="92" t="s">
        <v>261</v>
      </c>
      <c r="B49" s="18"/>
      <c r="C49" s="18"/>
      <c r="D49" s="18"/>
      <c r="E49" s="18"/>
      <c r="F49" s="18"/>
      <c r="G49" s="18"/>
      <c r="H49" s="21"/>
    </row>
    <row r="50" ht="15.75" customHeight="1">
      <c r="A50" s="106"/>
      <c r="B50" s="82"/>
      <c r="C50" s="82"/>
      <c r="D50" s="82"/>
      <c r="E50" s="82"/>
      <c r="F50" s="82"/>
      <c r="G50" s="82"/>
      <c r="H50" s="83"/>
    </row>
    <row r="51" ht="15.75" customHeight="1">
      <c r="A51" s="102"/>
      <c r="H51" s="103"/>
    </row>
    <row r="52" ht="15.75" customHeight="1">
      <c r="A52" s="84"/>
      <c r="B52" s="85"/>
      <c r="C52" s="85"/>
      <c r="D52" s="85"/>
      <c r="E52" s="85"/>
      <c r="F52" s="85"/>
      <c r="G52" s="85"/>
      <c r="H52" s="86"/>
    </row>
    <row r="53" ht="15.75" customHeight="1">
      <c r="A53" s="92" t="s">
        <v>263</v>
      </c>
      <c r="B53" s="18"/>
      <c r="C53" s="18"/>
      <c r="D53" s="18"/>
      <c r="E53" s="18"/>
      <c r="F53" s="18"/>
      <c r="G53" s="18"/>
      <c r="H53" s="21"/>
    </row>
    <row r="54" ht="15.75" customHeight="1">
      <c r="A54" s="106"/>
      <c r="B54" s="82"/>
      <c r="C54" s="82"/>
      <c r="D54" s="82"/>
      <c r="E54" s="82"/>
      <c r="F54" s="82"/>
      <c r="G54" s="82"/>
      <c r="H54" s="83"/>
    </row>
    <row r="55" ht="15.75" customHeight="1">
      <c r="A55" s="102"/>
      <c r="H55" s="103"/>
    </row>
    <row r="56" ht="15.75" customHeight="1">
      <c r="A56" s="102"/>
      <c r="H56" s="103"/>
    </row>
    <row r="57" ht="15.75" customHeight="1">
      <c r="A57" s="84"/>
      <c r="B57" s="85"/>
      <c r="C57" s="85"/>
      <c r="D57" s="85"/>
      <c r="E57" s="85"/>
      <c r="F57" s="85"/>
      <c r="G57" s="85"/>
      <c r="H57" s="86"/>
    </row>
    <row r="58" ht="15.75" customHeight="1"/>
    <row r="59" ht="15.75" customHeight="1"/>
    <row r="60" ht="15.75" customHeight="1">
      <c r="A60" s="90" t="s">
        <v>278</v>
      </c>
      <c r="E60" s="76" t="s">
        <v>166</v>
      </c>
      <c r="F60" s="91"/>
      <c r="G60" s="76" t="s">
        <v>258</v>
      </c>
      <c r="H60" s="91"/>
    </row>
    <row r="61" ht="15.75" customHeight="1">
      <c r="A61" s="101" t="s">
        <v>269</v>
      </c>
    </row>
    <row r="62" ht="15.75" customHeight="1">
      <c r="A62" s="95" t="s">
        <v>183</v>
      </c>
      <c r="B62" s="15"/>
      <c r="C62" s="18"/>
      <c r="D62" s="18"/>
      <c r="E62" s="18"/>
      <c r="F62" s="18"/>
      <c r="G62" s="18"/>
      <c r="H62" s="21"/>
    </row>
    <row r="63" ht="15.75" customHeight="1">
      <c r="A63" s="95" t="s">
        <v>183</v>
      </c>
      <c r="B63" s="15"/>
      <c r="C63" s="18"/>
      <c r="D63" s="18"/>
      <c r="E63" s="18"/>
      <c r="F63" s="18"/>
      <c r="G63" s="18"/>
      <c r="H63" s="21"/>
    </row>
    <row r="64" ht="15.75" customHeight="1">
      <c r="A64" s="95" t="s">
        <v>183</v>
      </c>
      <c r="B64" s="15"/>
      <c r="C64" s="18"/>
      <c r="D64" s="18"/>
      <c r="E64" s="18"/>
      <c r="F64" s="18"/>
      <c r="G64" s="18"/>
      <c r="H64" s="21"/>
    </row>
    <row r="65" ht="15.75" customHeight="1">
      <c r="A65" s="95" t="s">
        <v>259</v>
      </c>
      <c r="B65" s="15"/>
      <c r="C65" s="18"/>
      <c r="D65" s="18"/>
      <c r="E65" s="18"/>
      <c r="F65" s="18"/>
      <c r="G65" s="18"/>
      <c r="H65" s="21"/>
    </row>
    <row r="66" ht="15.75" customHeight="1">
      <c r="A66" s="92" t="s">
        <v>261</v>
      </c>
      <c r="B66" s="18"/>
      <c r="C66" s="18"/>
      <c r="D66" s="18"/>
      <c r="E66" s="18"/>
      <c r="F66" s="18"/>
      <c r="G66" s="18"/>
      <c r="H66" s="21"/>
    </row>
    <row r="67" ht="15.75" customHeight="1">
      <c r="A67" s="106"/>
      <c r="B67" s="82"/>
      <c r="C67" s="82"/>
      <c r="D67" s="82"/>
      <c r="E67" s="82"/>
      <c r="F67" s="82"/>
      <c r="G67" s="82"/>
      <c r="H67" s="83"/>
    </row>
    <row r="68" ht="15.75" customHeight="1">
      <c r="A68" s="102"/>
      <c r="H68" s="103"/>
    </row>
    <row r="69" ht="15.75" customHeight="1">
      <c r="A69" s="84"/>
      <c r="B69" s="85"/>
      <c r="C69" s="85"/>
      <c r="D69" s="85"/>
      <c r="E69" s="85"/>
      <c r="F69" s="85"/>
      <c r="G69" s="85"/>
      <c r="H69" s="86"/>
    </row>
    <row r="70" ht="15.75" customHeight="1">
      <c r="A70" s="92" t="s">
        <v>263</v>
      </c>
      <c r="B70" s="18"/>
      <c r="C70" s="18"/>
      <c r="D70" s="18"/>
      <c r="E70" s="18"/>
      <c r="F70" s="18"/>
      <c r="G70" s="18"/>
      <c r="H70" s="21"/>
    </row>
    <row r="71" ht="15.75" customHeight="1">
      <c r="A71" s="106"/>
      <c r="B71" s="82"/>
      <c r="C71" s="82"/>
      <c r="D71" s="82"/>
      <c r="E71" s="82"/>
      <c r="F71" s="82"/>
      <c r="G71" s="82"/>
      <c r="H71" s="83"/>
    </row>
    <row r="72" ht="15.75" customHeight="1">
      <c r="A72" s="102"/>
      <c r="H72" s="103"/>
    </row>
    <row r="73" ht="15.75" customHeight="1">
      <c r="A73" s="102"/>
      <c r="H73" s="103"/>
    </row>
    <row r="74" ht="15.75" customHeight="1">
      <c r="A74" s="84"/>
      <c r="B74" s="85"/>
      <c r="C74" s="85"/>
      <c r="D74" s="85"/>
      <c r="E74" s="85"/>
      <c r="F74" s="85"/>
      <c r="G74" s="85"/>
      <c r="H74" s="86"/>
    </row>
    <row r="75" ht="15.75" customHeight="1"/>
    <row r="76" ht="15.75" customHeight="1"/>
    <row r="77" ht="15.75" customHeight="1">
      <c r="A77" s="90" t="s">
        <v>279</v>
      </c>
      <c r="E77" s="76" t="s">
        <v>166</v>
      </c>
      <c r="F77" s="91"/>
      <c r="G77" s="76" t="s">
        <v>258</v>
      </c>
      <c r="H77" s="91"/>
    </row>
    <row r="78" ht="15.75" customHeight="1">
      <c r="A78" s="101" t="s">
        <v>269</v>
      </c>
    </row>
    <row r="79" ht="15.75" customHeight="1">
      <c r="A79" s="95" t="s">
        <v>183</v>
      </c>
      <c r="B79" s="15"/>
      <c r="C79" s="18"/>
      <c r="D79" s="18"/>
      <c r="E79" s="18"/>
      <c r="F79" s="18"/>
      <c r="G79" s="18"/>
      <c r="H79" s="21"/>
    </row>
    <row r="80" ht="15.75" customHeight="1">
      <c r="A80" s="95" t="s">
        <v>183</v>
      </c>
      <c r="B80" s="15"/>
      <c r="C80" s="18"/>
      <c r="D80" s="18"/>
      <c r="E80" s="18"/>
      <c r="F80" s="18"/>
      <c r="G80" s="18"/>
      <c r="H80" s="21"/>
    </row>
    <row r="81" ht="15.75" customHeight="1">
      <c r="A81" s="95" t="s">
        <v>183</v>
      </c>
      <c r="B81" s="15"/>
      <c r="C81" s="18"/>
      <c r="D81" s="18"/>
      <c r="E81" s="18"/>
      <c r="F81" s="18"/>
      <c r="G81" s="18"/>
      <c r="H81" s="21"/>
    </row>
    <row r="82" ht="15.75" customHeight="1">
      <c r="A82" s="95" t="s">
        <v>259</v>
      </c>
      <c r="B82" s="15"/>
      <c r="C82" s="18"/>
      <c r="D82" s="18"/>
      <c r="E82" s="18"/>
      <c r="F82" s="18"/>
      <c r="G82" s="18"/>
      <c r="H82" s="21"/>
    </row>
    <row r="83" ht="15.75" customHeight="1">
      <c r="A83" s="92" t="s">
        <v>261</v>
      </c>
      <c r="B83" s="18"/>
      <c r="C83" s="18"/>
      <c r="D83" s="18"/>
      <c r="E83" s="18"/>
      <c r="F83" s="18"/>
      <c r="G83" s="18"/>
      <c r="H83" s="21"/>
    </row>
    <row r="84" ht="15.75" customHeight="1">
      <c r="A84" s="106"/>
      <c r="B84" s="82"/>
      <c r="C84" s="82"/>
      <c r="D84" s="82"/>
      <c r="E84" s="82"/>
      <c r="F84" s="82"/>
      <c r="G84" s="82"/>
      <c r="H84" s="83"/>
    </row>
    <row r="85" ht="15.75" customHeight="1">
      <c r="A85" s="102"/>
      <c r="H85" s="103"/>
    </row>
    <row r="86" ht="15.75" customHeight="1">
      <c r="A86" s="84"/>
      <c r="B86" s="85"/>
      <c r="C86" s="85"/>
      <c r="D86" s="85"/>
      <c r="E86" s="85"/>
      <c r="F86" s="85"/>
      <c r="G86" s="85"/>
      <c r="H86" s="86"/>
    </row>
    <row r="87" ht="15.75" customHeight="1">
      <c r="A87" s="92" t="s">
        <v>263</v>
      </c>
      <c r="B87" s="18"/>
      <c r="C87" s="18"/>
      <c r="D87" s="18"/>
      <c r="E87" s="18"/>
      <c r="F87" s="18"/>
      <c r="G87" s="18"/>
      <c r="H87" s="21"/>
    </row>
    <row r="88" ht="15.75" customHeight="1">
      <c r="A88" s="106"/>
      <c r="B88" s="82"/>
      <c r="C88" s="82"/>
      <c r="D88" s="82"/>
      <c r="E88" s="82"/>
      <c r="F88" s="82"/>
      <c r="G88" s="82"/>
      <c r="H88" s="83"/>
    </row>
    <row r="89" ht="15.75" customHeight="1">
      <c r="A89" s="102"/>
      <c r="H89" s="103"/>
    </row>
    <row r="90" ht="15.75" customHeight="1">
      <c r="A90" s="102"/>
      <c r="H90" s="103"/>
    </row>
    <row r="91" ht="15.75" customHeight="1">
      <c r="A91" s="84"/>
      <c r="B91" s="85"/>
      <c r="C91" s="85"/>
      <c r="D91" s="85"/>
      <c r="E91" s="85"/>
      <c r="F91" s="85"/>
      <c r="G91" s="85"/>
      <c r="H91" s="86"/>
    </row>
    <row r="92" ht="15.75" customHeight="1"/>
    <row r="93" ht="15.75" customHeight="1"/>
    <row r="94" ht="15.75" customHeight="1">
      <c r="A94" s="90" t="s">
        <v>298</v>
      </c>
      <c r="E94" s="76" t="s">
        <v>166</v>
      </c>
      <c r="F94" s="91"/>
      <c r="G94" s="76" t="s">
        <v>258</v>
      </c>
      <c r="H94" s="91"/>
    </row>
    <row r="95" ht="15.75" customHeight="1">
      <c r="A95" s="101" t="s">
        <v>269</v>
      </c>
    </row>
    <row r="96" ht="15.75" customHeight="1">
      <c r="A96" s="95" t="s">
        <v>183</v>
      </c>
      <c r="B96" s="15"/>
      <c r="C96" s="18"/>
      <c r="D96" s="18"/>
      <c r="E96" s="18"/>
      <c r="F96" s="18"/>
      <c r="G96" s="18"/>
      <c r="H96" s="21"/>
    </row>
    <row r="97" ht="15.75" customHeight="1">
      <c r="A97" s="95" t="s">
        <v>183</v>
      </c>
      <c r="B97" s="15"/>
      <c r="C97" s="18"/>
      <c r="D97" s="18"/>
      <c r="E97" s="18"/>
      <c r="F97" s="18"/>
      <c r="G97" s="18"/>
      <c r="H97" s="21"/>
    </row>
    <row r="98" ht="15.75" customHeight="1">
      <c r="A98" s="95" t="s">
        <v>183</v>
      </c>
      <c r="B98" s="15"/>
      <c r="C98" s="18"/>
      <c r="D98" s="18"/>
      <c r="E98" s="18"/>
      <c r="F98" s="18"/>
      <c r="G98" s="18"/>
      <c r="H98" s="21"/>
    </row>
    <row r="99" ht="15.75" customHeight="1">
      <c r="A99" s="95" t="s">
        <v>259</v>
      </c>
      <c r="B99" s="15"/>
      <c r="C99" s="18"/>
      <c r="D99" s="18"/>
      <c r="E99" s="18"/>
      <c r="F99" s="18"/>
      <c r="G99" s="18"/>
      <c r="H99" s="21"/>
    </row>
    <row r="100" ht="15.75" customHeight="1">
      <c r="A100" s="92" t="s">
        <v>261</v>
      </c>
      <c r="B100" s="18"/>
      <c r="C100" s="18"/>
      <c r="D100" s="18"/>
      <c r="E100" s="18"/>
      <c r="F100" s="18"/>
      <c r="G100" s="18"/>
      <c r="H100" s="21"/>
    </row>
    <row r="101" ht="15.75" customHeight="1">
      <c r="A101" s="106"/>
      <c r="B101" s="82"/>
      <c r="C101" s="82"/>
      <c r="D101" s="82"/>
      <c r="E101" s="82"/>
      <c r="F101" s="82"/>
      <c r="G101" s="82"/>
      <c r="H101" s="83"/>
    </row>
    <row r="102" ht="15.75" customHeight="1">
      <c r="A102" s="102"/>
      <c r="H102" s="103"/>
    </row>
    <row r="103" ht="15.75" customHeight="1">
      <c r="A103" s="84"/>
      <c r="B103" s="85"/>
      <c r="C103" s="85"/>
      <c r="D103" s="85"/>
      <c r="E103" s="85"/>
      <c r="F103" s="85"/>
      <c r="G103" s="85"/>
      <c r="H103" s="86"/>
    </row>
    <row r="104" ht="15.75" customHeight="1">
      <c r="A104" s="92" t="s">
        <v>263</v>
      </c>
      <c r="B104" s="18"/>
      <c r="C104" s="18"/>
      <c r="D104" s="18"/>
      <c r="E104" s="18"/>
      <c r="F104" s="18"/>
      <c r="G104" s="18"/>
      <c r="H104" s="21"/>
    </row>
    <row r="105" ht="15.75" customHeight="1">
      <c r="A105" s="106"/>
      <c r="B105" s="82"/>
      <c r="C105" s="82"/>
      <c r="D105" s="82"/>
      <c r="E105" s="82"/>
      <c r="F105" s="82"/>
      <c r="G105" s="82"/>
      <c r="H105" s="83"/>
    </row>
    <row r="106" ht="15.75" customHeight="1">
      <c r="A106" s="102"/>
      <c r="H106" s="103"/>
    </row>
    <row r="107" ht="15.75" customHeight="1">
      <c r="A107" s="102"/>
      <c r="H107" s="103"/>
    </row>
    <row r="108" ht="15.75" customHeight="1">
      <c r="A108" s="84"/>
      <c r="B108" s="85"/>
      <c r="C108" s="85"/>
      <c r="D108" s="85"/>
      <c r="E108" s="85"/>
      <c r="F108" s="85"/>
      <c r="G108" s="85"/>
      <c r="H108" s="86"/>
    </row>
    <row r="109" ht="15.75" customHeight="1"/>
    <row r="110" ht="15.75" customHeight="1"/>
    <row r="111" ht="15.75" customHeight="1">
      <c r="A111" s="90" t="s">
        <v>350</v>
      </c>
      <c r="E111" s="76" t="s">
        <v>166</v>
      </c>
      <c r="F111" s="91"/>
      <c r="G111" s="76" t="s">
        <v>258</v>
      </c>
      <c r="H111" s="91"/>
    </row>
    <row r="112" ht="15.75" customHeight="1">
      <c r="A112" s="101" t="s">
        <v>269</v>
      </c>
    </row>
    <row r="113" ht="15.75" customHeight="1">
      <c r="A113" s="95" t="s">
        <v>183</v>
      </c>
      <c r="B113" s="15"/>
      <c r="C113" s="18"/>
      <c r="D113" s="18"/>
      <c r="E113" s="18"/>
      <c r="F113" s="18"/>
      <c r="G113" s="18"/>
      <c r="H113" s="21"/>
    </row>
    <row r="114" ht="15.75" customHeight="1">
      <c r="A114" s="95" t="s">
        <v>183</v>
      </c>
      <c r="B114" s="15"/>
      <c r="C114" s="18"/>
      <c r="D114" s="18"/>
      <c r="E114" s="18"/>
      <c r="F114" s="18"/>
      <c r="G114" s="18"/>
      <c r="H114" s="21"/>
    </row>
    <row r="115" ht="15.75" customHeight="1">
      <c r="A115" s="95" t="s">
        <v>183</v>
      </c>
      <c r="B115" s="15"/>
      <c r="C115" s="18"/>
      <c r="D115" s="18"/>
      <c r="E115" s="18"/>
      <c r="F115" s="18"/>
      <c r="G115" s="18"/>
      <c r="H115" s="21"/>
    </row>
    <row r="116" ht="15.75" customHeight="1">
      <c r="A116" s="95" t="s">
        <v>259</v>
      </c>
      <c r="B116" s="15"/>
      <c r="C116" s="18"/>
      <c r="D116" s="18"/>
      <c r="E116" s="18"/>
      <c r="F116" s="18"/>
      <c r="G116" s="18"/>
      <c r="H116" s="21"/>
    </row>
    <row r="117" ht="15.75" customHeight="1">
      <c r="A117" s="92" t="s">
        <v>261</v>
      </c>
      <c r="B117" s="18"/>
      <c r="C117" s="18"/>
      <c r="D117" s="18"/>
      <c r="E117" s="18"/>
      <c r="F117" s="18"/>
      <c r="G117" s="18"/>
      <c r="H117" s="21"/>
    </row>
    <row r="118" ht="15.75" customHeight="1">
      <c r="A118" s="106"/>
      <c r="B118" s="82"/>
      <c r="C118" s="82"/>
      <c r="D118" s="82"/>
      <c r="E118" s="82"/>
      <c r="F118" s="82"/>
      <c r="G118" s="82"/>
      <c r="H118" s="83"/>
    </row>
    <row r="119" ht="15.75" customHeight="1">
      <c r="A119" s="102"/>
      <c r="H119" s="103"/>
    </row>
    <row r="120" ht="15.75" customHeight="1">
      <c r="A120" s="84"/>
      <c r="B120" s="85"/>
      <c r="C120" s="85"/>
      <c r="D120" s="85"/>
      <c r="E120" s="85"/>
      <c r="F120" s="85"/>
      <c r="G120" s="85"/>
      <c r="H120" s="86"/>
    </row>
    <row r="121" ht="15.75" customHeight="1">
      <c r="A121" s="92" t="s">
        <v>263</v>
      </c>
      <c r="B121" s="18"/>
      <c r="C121" s="18"/>
      <c r="D121" s="18"/>
      <c r="E121" s="18"/>
      <c r="F121" s="18"/>
      <c r="G121" s="18"/>
      <c r="H121" s="21"/>
    </row>
    <row r="122" ht="15.75" customHeight="1">
      <c r="A122" s="106"/>
      <c r="B122" s="82"/>
      <c r="C122" s="82"/>
      <c r="D122" s="82"/>
      <c r="E122" s="82"/>
      <c r="F122" s="82"/>
      <c r="G122" s="82"/>
      <c r="H122" s="83"/>
    </row>
    <row r="123" ht="15.75" customHeight="1">
      <c r="A123" s="102"/>
      <c r="H123" s="103"/>
    </row>
    <row r="124" ht="15.75" customHeight="1">
      <c r="A124" s="102"/>
      <c r="H124" s="103"/>
    </row>
    <row r="125" ht="15.75" customHeight="1">
      <c r="A125" s="84"/>
      <c r="B125" s="85"/>
      <c r="C125" s="85"/>
      <c r="D125" s="85"/>
      <c r="E125" s="85"/>
      <c r="F125" s="85"/>
      <c r="G125" s="85"/>
      <c r="H125" s="86"/>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09" t="s">
        <v>74</v>
      </c>
    </row>
    <row r="3" ht="15.75" customHeight="1"/>
    <row r="4" ht="15.75" customHeight="1">
      <c r="B4" s="8" t="s">
        <v>3</v>
      </c>
      <c r="C4" s="15" t="str">
        <f>'Diseño'!C4</f>
        <v>720 - Modelación y Simulación 2</v>
      </c>
      <c r="D4" s="18"/>
      <c r="E4" s="18"/>
      <c r="F4" s="18"/>
      <c r="G4" s="21"/>
    </row>
    <row r="5" ht="15.75" customHeight="1">
      <c r="B5" s="88" t="s">
        <v>26</v>
      </c>
      <c r="C5" s="15">
        <f>H9+H26+H43+H60+H77+H94+H111+H128</f>
        <v>11</v>
      </c>
      <c r="D5" s="18"/>
      <c r="E5" s="18"/>
      <c r="F5" s="18"/>
      <c r="G5" s="21"/>
    </row>
    <row r="6" ht="15.75" customHeight="1">
      <c r="B6" s="88" t="s">
        <v>166</v>
      </c>
      <c r="C6" s="15">
        <f>F9+F26+F43+F60+F77+F94+F111+F128</f>
        <v>10</v>
      </c>
      <c r="D6" s="18"/>
      <c r="E6" s="18"/>
      <c r="F6" s="18"/>
      <c r="G6" s="21"/>
    </row>
    <row r="7" ht="15.75" customHeight="1">
      <c r="B7" s="12" t="s">
        <v>286</v>
      </c>
    </row>
    <row r="8" ht="15.75" customHeight="1"/>
    <row r="9" ht="15.75" customHeight="1">
      <c r="A9" s="90" t="s">
        <v>290</v>
      </c>
      <c r="E9" s="76" t="s">
        <v>166</v>
      </c>
      <c r="F9" s="110">
        <v>0.0</v>
      </c>
      <c r="G9" s="76" t="s">
        <v>258</v>
      </c>
      <c r="H9" s="110">
        <v>1.0</v>
      </c>
    </row>
    <row r="10" ht="15.75" customHeight="1">
      <c r="A10" s="12" t="s">
        <v>294</v>
      </c>
    </row>
    <row r="11" ht="15.75" customHeight="1">
      <c r="A11" s="95" t="s">
        <v>183</v>
      </c>
      <c r="B11" s="15"/>
      <c r="C11" s="18"/>
      <c r="D11" s="18"/>
      <c r="E11" s="18"/>
      <c r="F11" s="18"/>
      <c r="G11" s="18"/>
      <c r="H11" s="21"/>
    </row>
    <row r="12" ht="15.75" customHeight="1">
      <c r="A12" s="95" t="s">
        <v>183</v>
      </c>
      <c r="B12" s="15"/>
      <c r="C12" s="18"/>
      <c r="D12" s="18"/>
      <c r="E12" s="18"/>
      <c r="F12" s="18"/>
      <c r="G12" s="18"/>
      <c r="H12" s="21"/>
    </row>
    <row r="13" ht="15.75" customHeight="1">
      <c r="A13" s="95" t="s">
        <v>183</v>
      </c>
      <c r="B13" s="15"/>
      <c r="C13" s="18"/>
      <c r="D13" s="18"/>
      <c r="E13" s="18"/>
      <c r="F13" s="18"/>
      <c r="G13" s="18"/>
      <c r="H13" s="21"/>
    </row>
    <row r="14" ht="15.75" customHeight="1">
      <c r="A14" s="95" t="s">
        <v>259</v>
      </c>
      <c r="B14" s="51" t="s">
        <v>316</v>
      </c>
      <c r="C14" s="18"/>
      <c r="D14" s="18"/>
      <c r="E14" s="18"/>
      <c r="F14" s="18"/>
      <c r="G14" s="18"/>
      <c r="H14" s="21"/>
    </row>
    <row r="15" ht="15.75" customHeight="1">
      <c r="A15" s="92" t="s">
        <v>261</v>
      </c>
      <c r="B15" s="18"/>
      <c r="C15" s="18"/>
      <c r="D15" s="18"/>
      <c r="E15" s="18"/>
      <c r="F15" s="18"/>
      <c r="G15" s="18"/>
      <c r="H15" s="21"/>
    </row>
    <row r="16" ht="15.75" customHeight="1">
      <c r="A16" s="93" t="s">
        <v>319</v>
      </c>
      <c r="B16" s="82"/>
      <c r="C16" s="82"/>
      <c r="D16" s="82"/>
      <c r="E16" s="82"/>
      <c r="F16" s="82"/>
      <c r="G16" s="82"/>
      <c r="H16" s="83"/>
    </row>
    <row r="17" ht="15.75" customHeight="1">
      <c r="A17" s="102"/>
      <c r="H17" s="103"/>
    </row>
    <row r="18" ht="15.75" customHeight="1">
      <c r="A18" s="84"/>
      <c r="B18" s="85"/>
      <c r="C18" s="85"/>
      <c r="D18" s="85"/>
      <c r="E18" s="85"/>
      <c r="F18" s="85"/>
      <c r="G18" s="85"/>
      <c r="H18" s="86"/>
    </row>
    <row r="19" ht="15.75" customHeight="1">
      <c r="A19" s="92" t="s">
        <v>329</v>
      </c>
      <c r="B19" s="18"/>
      <c r="C19" s="18"/>
      <c r="D19" s="18"/>
      <c r="E19" s="18"/>
      <c r="F19" s="18"/>
      <c r="G19" s="18"/>
      <c r="H19" s="21"/>
    </row>
    <row r="20" ht="15.75" customHeight="1">
      <c r="A20" s="112" t="s">
        <v>335</v>
      </c>
      <c r="B20" s="82"/>
      <c r="C20" s="82"/>
      <c r="D20" s="82"/>
      <c r="E20" s="82"/>
      <c r="F20" s="82"/>
      <c r="G20" s="82"/>
      <c r="H20" s="83"/>
    </row>
    <row r="21" ht="15.75" customHeight="1">
      <c r="A21" s="102"/>
      <c r="H21" s="103"/>
    </row>
    <row r="22" ht="15.75" customHeight="1">
      <c r="A22" s="102"/>
      <c r="H22" s="103"/>
    </row>
    <row r="23" ht="15.75" customHeight="1">
      <c r="A23" s="84"/>
      <c r="B23" s="85"/>
      <c r="C23" s="85"/>
      <c r="D23" s="85"/>
      <c r="E23" s="85"/>
      <c r="F23" s="85"/>
      <c r="G23" s="85"/>
      <c r="H23" s="86"/>
    </row>
    <row r="24" ht="15.75" customHeight="1">
      <c r="A24" s="90"/>
      <c r="B24" s="90"/>
      <c r="C24" s="90"/>
      <c r="D24" s="90"/>
      <c r="E24" s="76"/>
      <c r="F24" s="113"/>
      <c r="G24" s="76"/>
      <c r="H24" s="113"/>
    </row>
    <row r="25" ht="15.75" customHeight="1">
      <c r="A25" s="90"/>
      <c r="B25" s="90"/>
      <c r="C25" s="90"/>
      <c r="D25" s="90"/>
      <c r="E25" s="76"/>
      <c r="F25" s="113"/>
      <c r="G25" s="76"/>
      <c r="H25" s="113"/>
    </row>
    <row r="26" ht="15.75" customHeight="1">
      <c r="A26" s="90" t="s">
        <v>360</v>
      </c>
      <c r="E26" s="76" t="s">
        <v>166</v>
      </c>
      <c r="F26" s="110">
        <v>2.0</v>
      </c>
      <c r="G26" s="76" t="s">
        <v>258</v>
      </c>
      <c r="H26" s="110">
        <v>2.0</v>
      </c>
    </row>
    <row r="27" ht="15.75" customHeight="1">
      <c r="A27" s="12" t="s">
        <v>275</v>
      </c>
    </row>
    <row r="28" ht="15.75" customHeight="1">
      <c r="A28" s="95" t="s">
        <v>183</v>
      </c>
      <c r="B28" s="15"/>
      <c r="C28" s="18"/>
      <c r="D28" s="18"/>
      <c r="E28" s="18"/>
      <c r="F28" s="18"/>
      <c r="G28" s="18"/>
      <c r="H28" s="21"/>
    </row>
    <row r="29" ht="15.75" customHeight="1">
      <c r="A29" s="95" t="s">
        <v>183</v>
      </c>
      <c r="B29" s="15"/>
      <c r="C29" s="18"/>
      <c r="D29" s="18"/>
      <c r="E29" s="18"/>
      <c r="F29" s="18"/>
      <c r="G29" s="18"/>
      <c r="H29" s="21"/>
    </row>
    <row r="30" ht="15.75" customHeight="1">
      <c r="A30" s="95" t="s">
        <v>183</v>
      </c>
      <c r="B30" s="15"/>
      <c r="C30" s="18"/>
      <c r="D30" s="18"/>
      <c r="E30" s="18"/>
      <c r="F30" s="18"/>
      <c r="G30" s="18"/>
      <c r="H30" s="21"/>
    </row>
    <row r="31" ht="15.75" customHeight="1">
      <c r="A31" s="95" t="s">
        <v>259</v>
      </c>
      <c r="B31" s="51" t="s">
        <v>383</v>
      </c>
      <c r="C31" s="18"/>
      <c r="D31" s="18"/>
      <c r="E31" s="18"/>
      <c r="F31" s="18"/>
      <c r="G31" s="18"/>
      <c r="H31" s="21"/>
    </row>
    <row r="32" ht="15.75" customHeight="1">
      <c r="A32" s="92" t="s">
        <v>261</v>
      </c>
      <c r="B32" s="18"/>
      <c r="C32" s="18"/>
      <c r="D32" s="18"/>
      <c r="E32" s="18"/>
      <c r="F32" s="18"/>
      <c r="G32" s="18"/>
      <c r="H32" s="21"/>
    </row>
    <row r="33" ht="15.75" customHeight="1">
      <c r="A33" s="93" t="s">
        <v>262</v>
      </c>
      <c r="B33" s="82"/>
      <c r="C33" s="82"/>
      <c r="D33" s="82"/>
      <c r="E33" s="82"/>
      <c r="F33" s="82"/>
      <c r="G33" s="82"/>
      <c r="H33" s="83"/>
    </row>
    <row r="34" ht="15.75" customHeight="1">
      <c r="A34" s="102"/>
      <c r="H34" s="103"/>
    </row>
    <row r="35" ht="15.75" customHeight="1">
      <c r="A35" s="84"/>
      <c r="B35" s="85"/>
      <c r="C35" s="85"/>
      <c r="D35" s="85"/>
      <c r="E35" s="85"/>
      <c r="F35" s="85"/>
      <c r="G35" s="85"/>
      <c r="H35" s="86"/>
    </row>
    <row r="36" ht="15.75" customHeight="1">
      <c r="A36" s="92" t="s">
        <v>263</v>
      </c>
      <c r="B36" s="18"/>
      <c r="C36" s="18"/>
      <c r="D36" s="18"/>
      <c r="E36" s="18"/>
      <c r="F36" s="18"/>
      <c r="G36" s="18"/>
      <c r="H36" s="21"/>
    </row>
    <row r="37" ht="15.75" customHeight="1">
      <c r="A37" s="111" t="s">
        <v>388</v>
      </c>
      <c r="B37" s="82"/>
      <c r="C37" s="82"/>
      <c r="D37" s="82"/>
      <c r="E37" s="82"/>
      <c r="F37" s="82"/>
      <c r="G37" s="82"/>
      <c r="H37" s="83"/>
    </row>
    <row r="38" ht="15.75" customHeight="1">
      <c r="A38" s="102"/>
      <c r="H38" s="103"/>
    </row>
    <row r="39" ht="15.75" customHeight="1">
      <c r="A39" s="102"/>
      <c r="H39" s="103"/>
    </row>
    <row r="40" ht="15.75" customHeight="1">
      <c r="A40" s="84"/>
      <c r="B40" s="85"/>
      <c r="C40" s="85"/>
      <c r="D40" s="85"/>
      <c r="E40" s="85"/>
      <c r="F40" s="85"/>
      <c r="G40" s="85"/>
      <c r="H40" s="86"/>
    </row>
    <row r="41" ht="15.75" customHeight="1"/>
    <row r="42" ht="15.75" customHeight="1"/>
    <row r="43" ht="15.75" customHeight="1">
      <c r="A43" s="90" t="s">
        <v>389</v>
      </c>
      <c r="E43" s="76" t="s">
        <v>166</v>
      </c>
      <c r="F43" s="110">
        <v>2.0</v>
      </c>
      <c r="G43" s="76" t="s">
        <v>258</v>
      </c>
      <c r="H43" s="110">
        <v>2.0</v>
      </c>
    </row>
    <row r="44" ht="15.75" customHeight="1">
      <c r="A44" s="12" t="s">
        <v>275</v>
      </c>
    </row>
    <row r="45" ht="15.75" customHeight="1">
      <c r="A45" s="95" t="s">
        <v>183</v>
      </c>
      <c r="B45" s="51" t="s">
        <v>38</v>
      </c>
      <c r="C45" s="18"/>
      <c r="D45" s="18"/>
      <c r="E45" s="18"/>
      <c r="F45" s="18"/>
      <c r="G45" s="18"/>
      <c r="H45" s="21"/>
    </row>
    <row r="46" ht="15.75" customHeight="1">
      <c r="A46" s="95" t="s">
        <v>183</v>
      </c>
      <c r="B46" s="51" t="s">
        <v>108</v>
      </c>
      <c r="C46" s="18"/>
      <c r="D46" s="18"/>
      <c r="E46" s="18"/>
      <c r="F46" s="18"/>
      <c r="G46" s="18"/>
      <c r="H46" s="21"/>
    </row>
    <row r="47" ht="15.75" customHeight="1">
      <c r="A47" s="95" t="s">
        <v>183</v>
      </c>
      <c r="B47" s="15"/>
      <c r="C47" s="18"/>
      <c r="D47" s="18"/>
      <c r="E47" s="18"/>
      <c r="F47" s="18"/>
      <c r="G47" s="18"/>
      <c r="H47" s="21"/>
    </row>
    <row r="48" ht="15.75" customHeight="1">
      <c r="A48" s="95" t="s">
        <v>259</v>
      </c>
      <c r="B48" s="51" t="s">
        <v>390</v>
      </c>
      <c r="C48" s="18"/>
      <c r="D48" s="18"/>
      <c r="E48" s="18"/>
      <c r="F48" s="18"/>
      <c r="G48" s="18"/>
      <c r="H48" s="21"/>
    </row>
    <row r="49" ht="15.75" customHeight="1">
      <c r="A49" s="92" t="s">
        <v>261</v>
      </c>
      <c r="B49" s="18"/>
      <c r="C49" s="18"/>
      <c r="D49" s="18"/>
      <c r="E49" s="18"/>
      <c r="F49" s="18"/>
      <c r="G49" s="18"/>
      <c r="H49" s="21"/>
    </row>
    <row r="50" ht="15.75" customHeight="1">
      <c r="A50" s="93" t="s">
        <v>391</v>
      </c>
      <c r="B50" s="82"/>
      <c r="C50" s="82"/>
      <c r="D50" s="82"/>
      <c r="E50" s="82"/>
      <c r="F50" s="82"/>
      <c r="G50" s="82"/>
      <c r="H50" s="83"/>
    </row>
    <row r="51" ht="15.75" customHeight="1">
      <c r="A51" s="102"/>
      <c r="H51" s="103"/>
    </row>
    <row r="52" ht="15.75" customHeight="1">
      <c r="A52" s="84"/>
      <c r="B52" s="85"/>
      <c r="C52" s="85"/>
      <c r="D52" s="85"/>
      <c r="E52" s="85"/>
      <c r="F52" s="85"/>
      <c r="G52" s="85"/>
      <c r="H52" s="86"/>
    </row>
    <row r="53" ht="15.75" customHeight="1">
      <c r="A53" s="92" t="s">
        <v>263</v>
      </c>
      <c r="B53" s="18"/>
      <c r="C53" s="18"/>
      <c r="D53" s="18"/>
      <c r="E53" s="18"/>
      <c r="F53" s="18"/>
      <c r="G53" s="18"/>
      <c r="H53" s="21"/>
    </row>
    <row r="54" ht="15.75" customHeight="1">
      <c r="A54" s="111" t="s">
        <v>392</v>
      </c>
      <c r="B54" s="82"/>
      <c r="C54" s="82"/>
      <c r="D54" s="82"/>
      <c r="E54" s="82"/>
      <c r="F54" s="82"/>
      <c r="G54" s="82"/>
      <c r="H54" s="83"/>
    </row>
    <row r="55" ht="15.75" customHeight="1">
      <c r="A55" s="102"/>
      <c r="H55" s="103"/>
    </row>
    <row r="56" ht="15.75" customHeight="1">
      <c r="A56" s="102"/>
      <c r="H56" s="103"/>
    </row>
    <row r="57" ht="15.75" customHeight="1">
      <c r="A57" s="84"/>
      <c r="B57" s="85"/>
      <c r="C57" s="85"/>
      <c r="D57" s="85"/>
      <c r="E57" s="85"/>
      <c r="F57" s="85"/>
      <c r="G57" s="85"/>
      <c r="H57" s="86"/>
    </row>
    <row r="58" ht="15.75" customHeight="1"/>
    <row r="59" ht="15.75" customHeight="1"/>
    <row r="60" ht="15.75" customHeight="1">
      <c r="A60" s="90" t="s">
        <v>393</v>
      </c>
      <c r="E60" s="76" t="s">
        <v>166</v>
      </c>
      <c r="F60" s="110">
        <v>2.0</v>
      </c>
      <c r="G60" s="76" t="s">
        <v>258</v>
      </c>
      <c r="H60" s="110">
        <v>2.0</v>
      </c>
    </row>
    <row r="61" ht="15.75" customHeight="1">
      <c r="A61" s="101" t="s">
        <v>269</v>
      </c>
    </row>
    <row r="62" ht="15.75" customHeight="1">
      <c r="A62" s="95" t="s">
        <v>183</v>
      </c>
      <c r="B62" s="15"/>
      <c r="C62" s="18"/>
      <c r="D62" s="18"/>
      <c r="E62" s="18"/>
      <c r="F62" s="18"/>
      <c r="G62" s="18"/>
      <c r="H62" s="21"/>
    </row>
    <row r="63" ht="15.75" customHeight="1">
      <c r="A63" s="95" t="s">
        <v>183</v>
      </c>
      <c r="B63" s="15"/>
      <c r="C63" s="18"/>
      <c r="D63" s="18"/>
      <c r="E63" s="18"/>
      <c r="F63" s="18"/>
      <c r="G63" s="18"/>
      <c r="H63" s="21"/>
    </row>
    <row r="64" ht="15.75" customHeight="1">
      <c r="A64" s="95" t="s">
        <v>183</v>
      </c>
      <c r="B64" s="15"/>
      <c r="C64" s="18"/>
      <c r="D64" s="18"/>
      <c r="E64" s="18"/>
      <c r="F64" s="18"/>
      <c r="G64" s="18"/>
      <c r="H64" s="21"/>
    </row>
    <row r="65" ht="15.75" customHeight="1">
      <c r="A65" s="95" t="s">
        <v>259</v>
      </c>
      <c r="B65" s="51" t="s">
        <v>394</v>
      </c>
      <c r="C65" s="18"/>
      <c r="D65" s="18"/>
      <c r="E65" s="18"/>
      <c r="F65" s="18"/>
      <c r="G65" s="18"/>
      <c r="H65" s="21"/>
    </row>
    <row r="66" ht="15.75" customHeight="1">
      <c r="A66" s="92" t="s">
        <v>261</v>
      </c>
      <c r="B66" s="18"/>
      <c r="C66" s="18"/>
      <c r="D66" s="18"/>
      <c r="E66" s="18"/>
      <c r="F66" s="18"/>
      <c r="G66" s="18"/>
      <c r="H66" s="21"/>
    </row>
    <row r="67" ht="15.75" customHeight="1">
      <c r="A67" s="93" t="s">
        <v>262</v>
      </c>
      <c r="B67" s="82"/>
      <c r="C67" s="82"/>
      <c r="D67" s="82"/>
      <c r="E67" s="82"/>
      <c r="F67" s="82"/>
      <c r="G67" s="82"/>
      <c r="H67" s="83"/>
    </row>
    <row r="68" ht="15.75" customHeight="1">
      <c r="A68" s="102"/>
      <c r="H68" s="103"/>
    </row>
    <row r="69" ht="15.75" customHeight="1">
      <c r="A69" s="84"/>
      <c r="B69" s="85"/>
      <c r="C69" s="85"/>
      <c r="D69" s="85"/>
      <c r="E69" s="85"/>
      <c r="F69" s="85"/>
      <c r="G69" s="85"/>
      <c r="H69" s="86"/>
    </row>
    <row r="70" ht="15.75" customHeight="1">
      <c r="A70" s="92" t="s">
        <v>263</v>
      </c>
      <c r="B70" s="18"/>
      <c r="C70" s="18"/>
      <c r="D70" s="18"/>
      <c r="E70" s="18"/>
      <c r="F70" s="18"/>
      <c r="G70" s="18"/>
      <c r="H70" s="21"/>
    </row>
    <row r="71" ht="15.75" customHeight="1">
      <c r="A71" s="111" t="s">
        <v>395</v>
      </c>
      <c r="B71" s="82"/>
      <c r="C71" s="82"/>
      <c r="D71" s="82"/>
      <c r="E71" s="82"/>
      <c r="F71" s="82"/>
      <c r="G71" s="82"/>
      <c r="H71" s="83"/>
    </row>
    <row r="72" ht="15.75" customHeight="1">
      <c r="A72" s="102"/>
      <c r="H72" s="103"/>
    </row>
    <row r="73" ht="15.75" customHeight="1">
      <c r="A73" s="102"/>
      <c r="H73" s="103"/>
    </row>
    <row r="74" ht="15.75" customHeight="1">
      <c r="A74" s="84"/>
      <c r="B74" s="85"/>
      <c r="C74" s="85"/>
      <c r="D74" s="85"/>
      <c r="E74" s="85"/>
      <c r="F74" s="85"/>
      <c r="G74" s="85"/>
      <c r="H74" s="86"/>
    </row>
    <row r="75" ht="15.75" customHeight="1"/>
    <row r="76" ht="15.75" customHeight="1"/>
    <row r="77" ht="15.75" customHeight="1">
      <c r="A77" s="90" t="s">
        <v>396</v>
      </c>
      <c r="E77" s="76" t="s">
        <v>166</v>
      </c>
      <c r="F77" s="110">
        <v>2.0</v>
      </c>
      <c r="G77" s="76" t="s">
        <v>258</v>
      </c>
      <c r="H77" s="110">
        <v>2.0</v>
      </c>
    </row>
    <row r="78" ht="15.75" customHeight="1">
      <c r="A78" s="101" t="s">
        <v>269</v>
      </c>
    </row>
    <row r="79" ht="15.75" customHeight="1">
      <c r="A79" s="95" t="s">
        <v>183</v>
      </c>
      <c r="B79" s="51" t="s">
        <v>232</v>
      </c>
      <c r="C79" s="18"/>
      <c r="D79" s="18"/>
      <c r="E79" s="18"/>
      <c r="F79" s="18"/>
      <c r="G79" s="18"/>
      <c r="H79" s="21"/>
    </row>
    <row r="80" ht="15.75" customHeight="1">
      <c r="A80" s="95" t="s">
        <v>183</v>
      </c>
      <c r="B80" s="51" t="s">
        <v>66</v>
      </c>
      <c r="C80" s="18"/>
      <c r="D80" s="18"/>
      <c r="E80" s="18"/>
      <c r="F80" s="18"/>
      <c r="G80" s="18"/>
      <c r="H80" s="21"/>
    </row>
    <row r="81" ht="15.75" customHeight="1">
      <c r="A81" s="95" t="s">
        <v>183</v>
      </c>
      <c r="B81" s="15"/>
      <c r="C81" s="18"/>
      <c r="D81" s="18"/>
      <c r="E81" s="18"/>
      <c r="F81" s="18"/>
      <c r="G81" s="18"/>
      <c r="H81" s="21"/>
    </row>
    <row r="82" ht="15.75" customHeight="1">
      <c r="A82" s="95" t="s">
        <v>259</v>
      </c>
      <c r="B82" s="51" t="s">
        <v>397</v>
      </c>
      <c r="C82" s="18"/>
      <c r="D82" s="18"/>
      <c r="E82" s="18"/>
      <c r="F82" s="18"/>
      <c r="G82" s="18"/>
      <c r="H82" s="21"/>
    </row>
    <row r="83" ht="15.75" customHeight="1">
      <c r="A83" s="92" t="s">
        <v>261</v>
      </c>
      <c r="B83" s="18"/>
      <c r="C83" s="18"/>
      <c r="D83" s="18"/>
      <c r="E83" s="18"/>
      <c r="F83" s="18"/>
      <c r="G83" s="18"/>
      <c r="H83" s="21"/>
    </row>
    <row r="84" ht="15.75" customHeight="1">
      <c r="A84" s="93" t="s">
        <v>391</v>
      </c>
      <c r="B84" s="82"/>
      <c r="C84" s="82"/>
      <c r="D84" s="82"/>
      <c r="E84" s="82"/>
      <c r="F84" s="82"/>
      <c r="G84" s="82"/>
      <c r="H84" s="83"/>
    </row>
    <row r="85" ht="15.75" customHeight="1">
      <c r="A85" s="102"/>
      <c r="H85" s="103"/>
    </row>
    <row r="86" ht="15.75" customHeight="1">
      <c r="A86" s="84"/>
      <c r="B86" s="85"/>
      <c r="C86" s="85"/>
      <c r="D86" s="85"/>
      <c r="E86" s="85"/>
      <c r="F86" s="85"/>
      <c r="G86" s="85"/>
      <c r="H86" s="86"/>
    </row>
    <row r="87" ht="15.75" customHeight="1">
      <c r="A87" s="92" t="s">
        <v>263</v>
      </c>
      <c r="B87" s="18"/>
      <c r="C87" s="18"/>
      <c r="D87" s="18"/>
      <c r="E87" s="18"/>
      <c r="F87" s="18"/>
      <c r="G87" s="18"/>
      <c r="H87" s="21"/>
    </row>
    <row r="88" ht="15.75" customHeight="1">
      <c r="A88" s="111" t="s">
        <v>398</v>
      </c>
      <c r="B88" s="82"/>
      <c r="C88" s="82"/>
      <c r="D88" s="82"/>
      <c r="E88" s="82"/>
      <c r="F88" s="82"/>
      <c r="G88" s="82"/>
      <c r="H88" s="83"/>
    </row>
    <row r="89" ht="15.75" customHeight="1">
      <c r="A89" s="102"/>
      <c r="H89" s="103"/>
    </row>
    <row r="90" ht="15.75" customHeight="1">
      <c r="A90" s="102"/>
      <c r="H90" s="103"/>
    </row>
    <row r="91" ht="15.75" customHeight="1">
      <c r="A91" s="84"/>
      <c r="B91" s="85"/>
      <c r="C91" s="85"/>
      <c r="D91" s="85"/>
      <c r="E91" s="85"/>
      <c r="F91" s="85"/>
      <c r="G91" s="85"/>
      <c r="H91" s="86"/>
    </row>
    <row r="92" ht="15.75" customHeight="1"/>
    <row r="93" ht="15.75" customHeight="1"/>
    <row r="94" ht="15.75" customHeight="1">
      <c r="A94" s="90" t="s">
        <v>399</v>
      </c>
      <c r="E94" s="76" t="s">
        <v>166</v>
      </c>
      <c r="F94" s="110">
        <v>2.0</v>
      </c>
      <c r="G94" s="76" t="s">
        <v>258</v>
      </c>
      <c r="H94" s="110">
        <v>2.0</v>
      </c>
    </row>
    <row r="95" ht="15.75" customHeight="1">
      <c r="A95" s="101" t="s">
        <v>269</v>
      </c>
    </row>
    <row r="96" ht="15.75" customHeight="1">
      <c r="A96" s="95" t="s">
        <v>183</v>
      </c>
      <c r="B96" s="15"/>
      <c r="C96" s="18"/>
      <c r="D96" s="18"/>
      <c r="E96" s="18"/>
      <c r="F96" s="18"/>
      <c r="G96" s="18"/>
      <c r="H96" s="21"/>
    </row>
    <row r="97" ht="15.75" customHeight="1">
      <c r="A97" s="95" t="s">
        <v>183</v>
      </c>
      <c r="B97" s="15"/>
      <c r="C97" s="18"/>
      <c r="D97" s="18"/>
      <c r="E97" s="18"/>
      <c r="F97" s="18"/>
      <c r="G97" s="18"/>
      <c r="H97" s="21"/>
    </row>
    <row r="98" ht="15.75" customHeight="1">
      <c r="A98" s="95" t="s">
        <v>183</v>
      </c>
      <c r="B98" s="15"/>
      <c r="C98" s="18"/>
      <c r="D98" s="18"/>
      <c r="E98" s="18"/>
      <c r="F98" s="18"/>
      <c r="G98" s="18"/>
      <c r="H98" s="21"/>
    </row>
    <row r="99" ht="15.75" customHeight="1">
      <c r="A99" s="95" t="s">
        <v>259</v>
      </c>
      <c r="B99" s="51" t="s">
        <v>400</v>
      </c>
      <c r="C99" s="18"/>
      <c r="D99" s="18"/>
      <c r="E99" s="18"/>
      <c r="F99" s="18"/>
      <c r="G99" s="18"/>
      <c r="H99" s="21"/>
    </row>
    <row r="100" ht="15.75" customHeight="1">
      <c r="A100" s="92" t="s">
        <v>261</v>
      </c>
      <c r="B100" s="18"/>
      <c r="C100" s="18"/>
      <c r="D100" s="18"/>
      <c r="E100" s="18"/>
      <c r="F100" s="18"/>
      <c r="G100" s="18"/>
      <c r="H100" s="21"/>
    </row>
    <row r="101" ht="15.75" customHeight="1">
      <c r="A101" s="93" t="s">
        <v>262</v>
      </c>
      <c r="B101" s="82"/>
      <c r="C101" s="82"/>
      <c r="D101" s="82"/>
      <c r="E101" s="82"/>
      <c r="F101" s="82"/>
      <c r="G101" s="82"/>
      <c r="H101" s="83"/>
    </row>
    <row r="102" ht="15.75" customHeight="1">
      <c r="A102" s="102"/>
      <c r="H102" s="103"/>
    </row>
    <row r="103" ht="15.75" customHeight="1">
      <c r="A103" s="84"/>
      <c r="B103" s="85"/>
      <c r="C103" s="85"/>
      <c r="D103" s="85"/>
      <c r="E103" s="85"/>
      <c r="F103" s="85"/>
      <c r="G103" s="85"/>
      <c r="H103" s="86"/>
    </row>
    <row r="104" ht="15.75" customHeight="1">
      <c r="A104" s="92" t="s">
        <v>263</v>
      </c>
      <c r="B104" s="18"/>
      <c r="C104" s="18"/>
      <c r="D104" s="18"/>
      <c r="E104" s="18"/>
      <c r="F104" s="18"/>
      <c r="G104" s="18"/>
      <c r="H104" s="21"/>
    </row>
    <row r="105" ht="15.75" customHeight="1">
      <c r="A105" s="111" t="s">
        <v>401</v>
      </c>
      <c r="B105" s="82"/>
      <c r="C105" s="82"/>
      <c r="D105" s="82"/>
      <c r="E105" s="82"/>
      <c r="F105" s="82"/>
      <c r="G105" s="82"/>
      <c r="H105" s="83"/>
    </row>
    <row r="106" ht="15.75" customHeight="1">
      <c r="A106" s="102"/>
      <c r="H106" s="103"/>
    </row>
    <row r="107" ht="15.75" customHeight="1">
      <c r="A107" s="102"/>
      <c r="H107" s="103"/>
    </row>
    <row r="108" ht="15.75" customHeight="1">
      <c r="A108" s="84"/>
      <c r="B108" s="85"/>
      <c r="C108" s="85"/>
      <c r="D108" s="85"/>
      <c r="E108" s="85"/>
      <c r="F108" s="85"/>
      <c r="G108" s="85"/>
      <c r="H108" s="86"/>
    </row>
    <row r="109" ht="15.75" customHeight="1"/>
    <row r="110" ht="15.75" customHeight="1"/>
    <row r="111" ht="15.75" customHeight="1">
      <c r="A111" s="90" t="s">
        <v>402</v>
      </c>
      <c r="E111" s="76" t="s">
        <v>166</v>
      </c>
      <c r="F111" s="91"/>
      <c r="G111" s="76" t="s">
        <v>258</v>
      </c>
      <c r="H111" s="91"/>
    </row>
    <row r="112" ht="15.75" customHeight="1">
      <c r="A112" s="101" t="s">
        <v>269</v>
      </c>
    </row>
    <row r="113" ht="15.75" customHeight="1">
      <c r="A113" s="95" t="s">
        <v>183</v>
      </c>
      <c r="B113" s="15"/>
      <c r="C113" s="18"/>
      <c r="D113" s="18"/>
      <c r="E113" s="18"/>
      <c r="F113" s="18"/>
      <c r="G113" s="18"/>
      <c r="H113" s="21"/>
    </row>
    <row r="114" ht="15.75" customHeight="1">
      <c r="A114" s="95" t="s">
        <v>183</v>
      </c>
      <c r="B114" s="15"/>
      <c r="C114" s="18"/>
      <c r="D114" s="18"/>
      <c r="E114" s="18"/>
      <c r="F114" s="18"/>
      <c r="G114" s="18"/>
      <c r="H114" s="21"/>
    </row>
    <row r="115" ht="15.75" customHeight="1">
      <c r="A115" s="95" t="s">
        <v>183</v>
      </c>
      <c r="B115" s="15"/>
      <c r="C115" s="18"/>
      <c r="D115" s="18"/>
      <c r="E115" s="18"/>
      <c r="F115" s="18"/>
      <c r="G115" s="18"/>
      <c r="H115" s="21"/>
    </row>
    <row r="116" ht="15.75" customHeight="1">
      <c r="A116" s="95" t="s">
        <v>259</v>
      </c>
      <c r="B116" s="15"/>
      <c r="C116" s="18"/>
      <c r="D116" s="18"/>
      <c r="E116" s="18"/>
      <c r="F116" s="18"/>
      <c r="G116" s="18"/>
      <c r="H116" s="21"/>
    </row>
    <row r="117" ht="15.75" customHeight="1">
      <c r="A117" s="92" t="s">
        <v>261</v>
      </c>
      <c r="B117" s="18"/>
      <c r="C117" s="18"/>
      <c r="D117" s="18"/>
      <c r="E117" s="18"/>
      <c r="F117" s="18"/>
      <c r="G117" s="18"/>
      <c r="H117" s="21"/>
    </row>
    <row r="118" ht="15.75" customHeight="1">
      <c r="A118" s="106"/>
      <c r="B118" s="82"/>
      <c r="C118" s="82"/>
      <c r="D118" s="82"/>
      <c r="E118" s="82"/>
      <c r="F118" s="82"/>
      <c r="G118" s="82"/>
      <c r="H118" s="83"/>
    </row>
    <row r="119" ht="15.75" customHeight="1">
      <c r="A119" s="102"/>
      <c r="H119" s="103"/>
    </row>
    <row r="120" ht="15.75" customHeight="1">
      <c r="A120" s="84"/>
      <c r="B120" s="85"/>
      <c r="C120" s="85"/>
      <c r="D120" s="85"/>
      <c r="E120" s="85"/>
      <c r="F120" s="85"/>
      <c r="G120" s="85"/>
      <c r="H120" s="86"/>
    </row>
    <row r="121" ht="15.75" customHeight="1">
      <c r="A121" s="92" t="s">
        <v>263</v>
      </c>
      <c r="B121" s="18"/>
      <c r="C121" s="18"/>
      <c r="D121" s="18"/>
      <c r="E121" s="18"/>
      <c r="F121" s="18"/>
      <c r="G121" s="18"/>
      <c r="H121" s="21"/>
    </row>
    <row r="122" ht="15.75" customHeight="1">
      <c r="A122" s="106"/>
      <c r="B122" s="82"/>
      <c r="C122" s="82"/>
      <c r="D122" s="82"/>
      <c r="E122" s="82"/>
      <c r="F122" s="82"/>
      <c r="G122" s="82"/>
      <c r="H122" s="83"/>
    </row>
    <row r="123" ht="15.75" customHeight="1">
      <c r="A123" s="102"/>
      <c r="H123" s="103"/>
    </row>
    <row r="124" ht="15.75" customHeight="1">
      <c r="A124" s="102"/>
      <c r="H124" s="103"/>
    </row>
    <row r="125" ht="15.75" customHeight="1">
      <c r="A125" s="84"/>
      <c r="B125" s="85"/>
      <c r="C125" s="85"/>
      <c r="D125" s="85"/>
      <c r="E125" s="85"/>
      <c r="F125" s="85"/>
      <c r="G125" s="85"/>
      <c r="H125" s="86"/>
    </row>
    <row r="126" ht="15.75" customHeight="1"/>
    <row r="127" ht="15.75" customHeight="1"/>
    <row r="128" ht="15.75" customHeight="1">
      <c r="A128" s="90" t="s">
        <v>403</v>
      </c>
      <c r="E128" s="76" t="s">
        <v>166</v>
      </c>
      <c r="F128" s="91"/>
      <c r="G128" s="76" t="s">
        <v>258</v>
      </c>
      <c r="H128" s="91"/>
    </row>
    <row r="129" ht="15.75" customHeight="1">
      <c r="A129" s="101" t="s">
        <v>269</v>
      </c>
    </row>
    <row r="130" ht="15.75" customHeight="1">
      <c r="A130" s="95" t="s">
        <v>183</v>
      </c>
      <c r="B130" s="15"/>
      <c r="C130" s="18"/>
      <c r="D130" s="18"/>
      <c r="E130" s="18"/>
      <c r="F130" s="18"/>
      <c r="G130" s="18"/>
      <c r="H130" s="21"/>
    </row>
    <row r="131" ht="15.75" customHeight="1">
      <c r="A131" s="95" t="s">
        <v>183</v>
      </c>
      <c r="B131" s="15"/>
      <c r="C131" s="18"/>
      <c r="D131" s="18"/>
      <c r="E131" s="18"/>
      <c r="F131" s="18"/>
      <c r="G131" s="18"/>
      <c r="H131" s="21"/>
    </row>
    <row r="132" ht="15.75" customHeight="1">
      <c r="A132" s="95" t="s">
        <v>183</v>
      </c>
      <c r="B132" s="15"/>
      <c r="C132" s="18"/>
      <c r="D132" s="18"/>
      <c r="E132" s="18"/>
      <c r="F132" s="18"/>
      <c r="G132" s="18"/>
      <c r="H132" s="21"/>
    </row>
    <row r="133" ht="15.75" customHeight="1">
      <c r="A133" s="95" t="s">
        <v>259</v>
      </c>
      <c r="B133" s="15"/>
      <c r="C133" s="18"/>
      <c r="D133" s="18"/>
      <c r="E133" s="18"/>
      <c r="F133" s="18"/>
      <c r="G133" s="18"/>
      <c r="H133" s="21"/>
    </row>
    <row r="134" ht="15.75" customHeight="1">
      <c r="A134" s="92" t="s">
        <v>261</v>
      </c>
      <c r="B134" s="18"/>
      <c r="C134" s="18"/>
      <c r="D134" s="18"/>
      <c r="E134" s="18"/>
      <c r="F134" s="18"/>
      <c r="G134" s="18"/>
      <c r="H134" s="21"/>
    </row>
    <row r="135" ht="15.75" customHeight="1">
      <c r="A135" s="106"/>
      <c r="B135" s="82"/>
      <c r="C135" s="82"/>
      <c r="D135" s="82"/>
      <c r="E135" s="82"/>
      <c r="F135" s="82"/>
      <c r="G135" s="82"/>
      <c r="H135" s="83"/>
    </row>
    <row r="136" ht="15.75" customHeight="1">
      <c r="A136" s="102"/>
      <c r="H136" s="103"/>
    </row>
    <row r="137" ht="15.75" customHeight="1">
      <c r="A137" s="84"/>
      <c r="B137" s="85"/>
      <c r="C137" s="85"/>
      <c r="D137" s="85"/>
      <c r="E137" s="85"/>
      <c r="F137" s="85"/>
      <c r="G137" s="85"/>
      <c r="H137" s="86"/>
    </row>
    <row r="138" ht="15.75" customHeight="1">
      <c r="A138" s="92" t="s">
        <v>263</v>
      </c>
      <c r="B138" s="18"/>
      <c r="C138" s="18"/>
      <c r="D138" s="18"/>
      <c r="E138" s="18"/>
      <c r="F138" s="18"/>
      <c r="G138" s="18"/>
      <c r="H138" s="21"/>
    </row>
    <row r="139" ht="15.75" customHeight="1">
      <c r="A139" s="106"/>
      <c r="B139" s="82"/>
      <c r="C139" s="82"/>
      <c r="D139" s="82"/>
      <c r="E139" s="82"/>
      <c r="F139" s="82"/>
      <c r="G139" s="82"/>
      <c r="H139" s="83"/>
    </row>
    <row r="140" ht="15.75" customHeight="1">
      <c r="A140" s="102"/>
      <c r="H140" s="103"/>
    </row>
    <row r="141" ht="15.75" customHeight="1">
      <c r="A141" s="102"/>
      <c r="H141" s="103"/>
    </row>
    <row r="142" ht="15.75" customHeight="1">
      <c r="A142" s="84"/>
      <c r="B142" s="85"/>
      <c r="C142" s="85"/>
      <c r="D142" s="85"/>
      <c r="E142" s="85"/>
      <c r="F142" s="85"/>
      <c r="G142" s="85"/>
      <c r="H142" s="86"/>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2:B13 B113:B115 B130:B132">
      <formula1>Metadata!$I$17:$I$40</formula1>
    </dataValidation>
    <dataValidation type="list" allowBlank="1" showErrorMessage="1" sqref="B11 B28:B30 B45:B47 B62:B64 B79:B81 B96:B98">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1" t="s">
        <v>280</v>
      </c>
      <c r="B1" s="11" t="s">
        <v>281</v>
      </c>
      <c r="C1" s="11" t="s">
        <v>13</v>
      </c>
      <c r="D1" s="11" t="s">
        <v>19</v>
      </c>
    </row>
    <row r="2">
      <c r="A2" s="11" t="s">
        <v>282</v>
      </c>
      <c r="B2" s="11" t="str">
        <f>Competencias!C13</f>
        <v>Aplica y hace uso de todos los objetos que  SIMIO brinda en sus librerias empleando los conocimientos adquiridos en el laboratori para poder realizar los modelos basados en la vida real según sean necesarios. </v>
      </c>
      <c r="C2" s="3" t="s">
        <v>283</v>
      </c>
      <c r="D2" s="3" t="s">
        <v>284</v>
      </c>
    </row>
    <row r="3">
      <c r="A3" s="11" t="s">
        <v>285</v>
      </c>
      <c r="B3" s="11" t="str">
        <f>Competencias!C15</f>
        <v>Evalua ganancias, costos y gastos  empleando herramientas de simulación con SIMIO con el fin de prevenir perdidas y tener mejor control financiero. </v>
      </c>
      <c r="C3" s="3" t="s">
        <v>287</v>
      </c>
      <c r="D3" s="3" t="s">
        <v>288</v>
      </c>
    </row>
    <row r="4">
      <c r="A4" s="11" t="s">
        <v>289</v>
      </c>
      <c r="B4" s="11" t="str">
        <f>Competencias!C17</f>
        <v>Analiza con lógica y conocimiento de simulación empleado herramientas de simulación con SIMIO enfocado a presentar soluciones profesionales </v>
      </c>
      <c r="C4" s="3" t="s">
        <v>291</v>
      </c>
      <c r="D4" s="3" t="s">
        <v>292</v>
      </c>
    </row>
    <row r="5">
      <c r="A5" s="11" t="s">
        <v>293</v>
      </c>
      <c r="B5" s="11" t="str">
        <f>Competencias!C19</f>
        <v>Aplica y hace uso de todos los objetos que SIMIO brinda en sus librerias empleando los conocimientos adquiridos en el laboratorio para poder realizar los modelos basados en la vida real según sean necesarios. </v>
      </c>
      <c r="C5" s="3" t="s">
        <v>295</v>
      </c>
      <c r="D5" s="3" t="s">
        <v>296</v>
      </c>
    </row>
    <row r="6">
      <c r="A6" s="11" t="s">
        <v>297</v>
      </c>
      <c r="B6" s="11" t="str">
        <f>Competencias!C21</f>
        <v>Crea modelos a la medida por medio del software SIMIO  para resolución y optimiización de procesos empresariales </v>
      </c>
      <c r="C6" s="3" t="s">
        <v>299</v>
      </c>
      <c r="D6" s="3" t="s">
        <v>300</v>
      </c>
    </row>
    <row r="7">
      <c r="A7" s="11" t="s">
        <v>301</v>
      </c>
      <c r="B7" s="11" t="str">
        <f>Competencias!C23</f>
        <v>Recuerda los conocimientos y las herramientas que fueron empleadas en SIMIO realizando ejercicios para recuperar sus habilidades para ponerlos en practica en el curso de modelación y simulación 2. </v>
      </c>
      <c r="C7" s="3" t="s">
        <v>302</v>
      </c>
      <c r="D7" s="3" t="s">
        <v>303</v>
      </c>
    </row>
    <row r="8">
      <c r="A8" s="11" t="s">
        <v>304</v>
      </c>
      <c r="B8" s="11" t="str">
        <f>Competencias!C25</f>
        <v>Comprende el funcionamiento del modelado por medio del análisis de documentación empleando herramientas de simulación con SIMIO con el fin de ponerlo en práctica en tareas del laboratorio </v>
      </c>
      <c r="C8" s="3" t="s">
        <v>305</v>
      </c>
      <c r="D8" s="3" t="s">
        <v>306</v>
      </c>
    </row>
    <row r="9">
      <c r="A9" s="11" t="s">
        <v>307</v>
      </c>
      <c r="C9" s="3" t="s">
        <v>308</v>
      </c>
    </row>
    <row r="10">
      <c r="A10" s="11" t="s">
        <v>309</v>
      </c>
      <c r="C10" s="3" t="s">
        <v>310</v>
      </c>
    </row>
    <row r="11">
      <c r="A11" s="11" t="s">
        <v>311</v>
      </c>
    </row>
    <row r="12">
      <c r="A12" s="11" t="s">
        <v>312</v>
      </c>
    </row>
    <row r="13">
      <c r="A13" s="11" t="s">
        <v>313</v>
      </c>
    </row>
    <row r="14">
      <c r="A14" s="11" t="s">
        <v>314</v>
      </c>
    </row>
    <row r="15">
      <c r="A15" s="11" t="s">
        <v>315</v>
      </c>
    </row>
    <row r="16">
      <c r="A16" s="11" t="s">
        <v>317</v>
      </c>
    </row>
    <row r="17">
      <c r="A17" s="11" t="s">
        <v>318</v>
      </c>
    </row>
    <row r="18">
      <c r="A18" s="11" t="s">
        <v>320</v>
      </c>
    </row>
    <row r="19">
      <c r="A19" s="11" t="s">
        <v>321</v>
      </c>
    </row>
    <row r="20">
      <c r="A20" s="11" t="s">
        <v>322</v>
      </c>
    </row>
    <row r="21">
      <c r="A21" s="11" t="s">
        <v>323</v>
      </c>
    </row>
    <row r="22">
      <c r="A22" s="11" t="s">
        <v>324</v>
      </c>
    </row>
    <row r="23">
      <c r="A23" s="11" t="s">
        <v>325</v>
      </c>
    </row>
    <row r="24">
      <c r="A24" s="11" t="s">
        <v>326</v>
      </c>
    </row>
    <row r="25">
      <c r="A25" s="11" t="s">
        <v>327</v>
      </c>
    </row>
    <row r="26">
      <c r="A26" s="11" t="s">
        <v>328</v>
      </c>
    </row>
    <row r="27">
      <c r="A27" s="11" t="s">
        <v>330</v>
      </c>
    </row>
    <row r="28">
      <c r="A28" s="11" t="s">
        <v>331</v>
      </c>
    </row>
    <row r="29">
      <c r="A29" s="11" t="s">
        <v>332</v>
      </c>
    </row>
    <row r="30">
      <c r="A30" s="11" t="s">
        <v>333</v>
      </c>
    </row>
    <row r="31">
      <c r="A31" s="11" t="s">
        <v>334</v>
      </c>
    </row>
    <row r="32">
      <c r="A32" s="11" t="s">
        <v>336</v>
      </c>
    </row>
    <row r="33">
      <c r="A33" s="11" t="s">
        <v>337</v>
      </c>
    </row>
    <row r="34">
      <c r="A34" s="11" t="s">
        <v>338</v>
      </c>
    </row>
    <row r="35">
      <c r="A35" s="11" t="s">
        <v>339</v>
      </c>
    </row>
    <row r="36">
      <c r="A36" s="11" t="s">
        <v>340</v>
      </c>
    </row>
    <row r="37">
      <c r="A37" s="11" t="s">
        <v>341</v>
      </c>
    </row>
    <row r="38">
      <c r="A38" s="11" t="s">
        <v>342</v>
      </c>
    </row>
    <row r="39">
      <c r="A39" s="11" t="s">
        <v>343</v>
      </c>
    </row>
    <row r="40">
      <c r="A40" s="11" t="s">
        <v>344</v>
      </c>
    </row>
    <row r="41">
      <c r="A41" s="11" t="s">
        <v>345</v>
      </c>
    </row>
    <row r="42">
      <c r="A42" s="11" t="s">
        <v>346</v>
      </c>
    </row>
    <row r="43">
      <c r="A43" s="11" t="s">
        <v>347</v>
      </c>
    </row>
    <row r="44">
      <c r="A44" s="11" t="s">
        <v>348</v>
      </c>
    </row>
    <row r="45">
      <c r="A45" s="11" t="s">
        <v>349</v>
      </c>
    </row>
    <row r="46">
      <c r="A46" s="11" t="s">
        <v>351</v>
      </c>
    </row>
    <row r="47">
      <c r="A47" s="11" t="s">
        <v>352</v>
      </c>
    </row>
    <row r="48">
      <c r="A48" s="11" t="s">
        <v>353</v>
      </c>
    </row>
    <row r="49">
      <c r="A49" s="11" t="s">
        <v>354</v>
      </c>
    </row>
    <row r="50">
      <c r="A50" s="11" t="s">
        <v>355</v>
      </c>
    </row>
    <row r="51">
      <c r="A51" s="11" t="s">
        <v>356</v>
      </c>
    </row>
    <row r="52">
      <c r="A52" s="11" t="s">
        <v>357</v>
      </c>
    </row>
    <row r="53">
      <c r="A53" s="11" t="s">
        <v>358</v>
      </c>
    </row>
    <row r="54">
      <c r="A54" s="11" t="s">
        <v>359</v>
      </c>
    </row>
    <row r="55">
      <c r="A55" s="11" t="s">
        <v>361</v>
      </c>
    </row>
    <row r="56">
      <c r="A56" s="11" t="s">
        <v>362</v>
      </c>
    </row>
    <row r="57">
      <c r="A57" s="11" t="s">
        <v>363</v>
      </c>
    </row>
    <row r="58">
      <c r="A58" s="11" t="s">
        <v>364</v>
      </c>
    </row>
    <row r="59">
      <c r="A59" s="11" t="s">
        <v>365</v>
      </c>
    </row>
    <row r="60">
      <c r="A60" s="11" t="s">
        <v>366</v>
      </c>
    </row>
    <row r="61">
      <c r="A61" s="11" t="s">
        <v>367</v>
      </c>
    </row>
    <row r="62">
      <c r="A62" s="11" t="s">
        <v>368</v>
      </c>
    </row>
    <row r="63">
      <c r="A63" s="11" t="s">
        <v>369</v>
      </c>
    </row>
    <row r="64">
      <c r="A64" s="11" t="s">
        <v>370</v>
      </c>
    </row>
    <row r="65">
      <c r="A65" s="11" t="s">
        <v>371</v>
      </c>
    </row>
    <row r="66">
      <c r="A66" s="11" t="s">
        <v>372</v>
      </c>
    </row>
    <row r="67">
      <c r="A67" s="11" t="s">
        <v>4</v>
      </c>
    </row>
    <row r="68">
      <c r="A68" s="11" t="s">
        <v>373</v>
      </c>
    </row>
    <row r="69">
      <c r="A69" s="11" t="s">
        <v>374</v>
      </c>
    </row>
    <row r="70">
      <c r="A70" s="11" t="s">
        <v>375</v>
      </c>
    </row>
    <row r="71">
      <c r="A71" s="11" t="s">
        <v>376</v>
      </c>
    </row>
    <row r="72">
      <c r="A72" s="11" t="s">
        <v>377</v>
      </c>
    </row>
    <row r="73">
      <c r="A73" s="11" t="s">
        <v>378</v>
      </c>
    </row>
    <row r="74">
      <c r="A74" s="11" t="s">
        <v>379</v>
      </c>
    </row>
    <row r="75">
      <c r="A75" s="11" t="s">
        <v>380</v>
      </c>
    </row>
    <row r="76">
      <c r="A76" s="11" t="s">
        <v>381</v>
      </c>
    </row>
    <row r="77">
      <c r="A77" s="11" t="s">
        <v>382</v>
      </c>
    </row>
    <row r="78">
      <c r="A78" s="11" t="s">
        <v>384</v>
      </c>
    </row>
    <row r="79">
      <c r="A79" s="11" t="s">
        <v>385</v>
      </c>
    </row>
    <row r="80">
      <c r="A80" s="11" t="s">
        <v>386</v>
      </c>
    </row>
    <row r="81">
      <c r="A81" s="11" t="s">
        <v>387</v>
      </c>
    </row>
  </sheetData>
  <drawing r:id="rId1"/>
</worksheet>
</file>